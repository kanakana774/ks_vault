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EVIC-USER1\Downloads\"/>
    </mc:Choice>
  </mc:AlternateContent>
  <bookViews>
    <workbookView xWindow="0" yWindow="0" windowWidth="23040" windowHeight="9390" tabRatio="500"/>
  </bookViews>
  <sheets>
    <sheet name="表紙" sheetId="1" r:id="rId1"/>
    <sheet name="テーブル一覧" sheetId="6" r:id="rId2"/>
    <sheet name="ユーザマスタ" sheetId="10" r:id="rId3"/>
    <sheet name="問題レベルマスタ" sheetId="13" r:id="rId4"/>
    <sheet name="問題カテゴリマスタ" sheetId="14" r:id="rId5"/>
    <sheet name="問題サブカテゴリマスタ" sheetId="15" r:id="rId6"/>
    <sheet name="問題マスタ" sheetId="16" r:id="rId7"/>
    <sheet name="解答マスタ" sheetId="17" r:id="rId8"/>
    <sheet name="ユーザ参照権限" sheetId="19" r:id="rId9"/>
    <sheet name="成績" sheetId="20" r:id="rId10"/>
    <sheet name="苦手問題" sheetId="21" r:id="rId11"/>
    <sheet name="DB定義雛形" sheetId="11" r:id="rId12"/>
  </sheets>
  <definedNames>
    <definedName name="_xlnm.Print_Area" localSheetId="11">DB定義雛形!$A$1:$AE$18</definedName>
    <definedName name="_xlnm.Print_Area" localSheetId="1">テーブル一覧!$A$1:$AE$17</definedName>
    <definedName name="_xlnm.Print_Area" localSheetId="2">ユーザマスタ!$A$1:$AE$19</definedName>
    <definedName name="_xlnm.Print_Area" localSheetId="8">ユーザ参照権限!$A$1:$AE$17</definedName>
    <definedName name="_xlnm.Print_Area" localSheetId="7">解答マスタ!$A$1:$AE$20</definedName>
    <definedName name="_xlnm.Print_Area" localSheetId="10">苦手問題!$A$1:$AE$20</definedName>
    <definedName name="_xlnm.Print_Area" localSheetId="9">成績!$A$1:$AE$25</definedName>
    <definedName name="_xlnm.Print_Area" localSheetId="4">問題カテゴリマスタ!$A$1:$AE$19</definedName>
    <definedName name="_xlnm.Print_Area" localSheetId="5">問題サブカテゴリマスタ!$A$1:$AE$20</definedName>
    <definedName name="_xlnm.Print_Area" localSheetId="6">問題マスタ!$A$1:$AE$20</definedName>
    <definedName name="_xlnm.Print_Area" localSheetId="3">問題レベルマスタ!$A$1:$AE$18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" i="15" l="1"/>
  <c r="A10" i="20" l="1"/>
  <c r="F4" i="16"/>
  <c r="A14" i="16"/>
  <c r="F5" i="10" l="1"/>
  <c r="A11" i="17" l="1"/>
  <c r="A11" i="16"/>
  <c r="A11" i="15"/>
  <c r="A19" i="20" l="1"/>
  <c r="A17" i="20"/>
  <c r="A15" i="20"/>
  <c r="A18" i="20"/>
  <c r="A16" i="20"/>
  <c r="A13" i="17"/>
  <c r="A12" i="17"/>
  <c r="A12" i="13"/>
  <c r="A12" i="14"/>
  <c r="A17" i="13"/>
  <c r="A16" i="13"/>
  <c r="A15" i="13"/>
  <c r="A14" i="13"/>
  <c r="A13" i="13"/>
  <c r="A11" i="13"/>
  <c r="A10" i="13"/>
  <c r="A12" i="10"/>
  <c r="B16" i="6"/>
  <c r="B15" i="6"/>
  <c r="B14" i="6"/>
  <c r="B13" i="6"/>
  <c r="B12" i="6"/>
  <c r="B11" i="6"/>
  <c r="B10" i="6"/>
  <c r="B9" i="6"/>
  <c r="B8" i="6"/>
  <c r="A13" i="21"/>
  <c r="F5" i="21"/>
  <c r="F4" i="21"/>
  <c r="A19" i="21"/>
  <c r="A18" i="21"/>
  <c r="A17" i="21"/>
  <c r="A16" i="21"/>
  <c r="A15" i="21"/>
  <c r="A14" i="21"/>
  <c r="A12" i="21"/>
  <c r="A11" i="21"/>
  <c r="A10" i="21"/>
  <c r="C1" i="21"/>
  <c r="A12" i="20"/>
  <c r="A14" i="20"/>
  <c r="A13" i="20"/>
  <c r="F5" i="20"/>
  <c r="F4" i="20"/>
  <c r="F5" i="19"/>
  <c r="F4" i="19"/>
  <c r="A24" i="20"/>
  <c r="A23" i="20"/>
  <c r="A22" i="20"/>
  <c r="A21" i="20"/>
  <c r="A20" i="20"/>
  <c r="A11" i="20"/>
  <c r="C1" i="20"/>
  <c r="F5" i="13"/>
  <c r="A16" i="19"/>
  <c r="A15" i="19"/>
  <c r="A14" i="19"/>
  <c r="A13" i="19"/>
  <c r="A12" i="19"/>
  <c r="A11" i="19"/>
  <c r="A10" i="19"/>
  <c r="C1" i="19"/>
  <c r="F5" i="17"/>
  <c r="F4" i="17"/>
  <c r="F5" i="16"/>
  <c r="F4" i="15"/>
  <c r="A14" i="15"/>
  <c r="F5" i="14"/>
  <c r="F4" i="14"/>
  <c r="F4" i="13"/>
  <c r="A19" i="17"/>
  <c r="A18" i="17"/>
  <c r="A17" i="17"/>
  <c r="A16" i="17"/>
  <c r="A15" i="17"/>
  <c r="A14" i="17"/>
  <c r="A10" i="17"/>
  <c r="C1" i="17"/>
  <c r="A19" i="16"/>
  <c r="A18" i="16"/>
  <c r="A17" i="16"/>
  <c r="A16" i="16"/>
  <c r="A15" i="16"/>
  <c r="A13" i="16"/>
  <c r="A12" i="16"/>
  <c r="A10" i="16"/>
  <c r="C1" i="16"/>
  <c r="A12" i="15"/>
  <c r="A19" i="15"/>
  <c r="A18" i="15"/>
  <c r="A17" i="15"/>
  <c r="A16" i="15"/>
  <c r="A15" i="15"/>
  <c r="A13" i="15"/>
  <c r="A10" i="15"/>
  <c r="C1" i="15"/>
  <c r="A11" i="14"/>
  <c r="A18" i="14"/>
  <c r="A17" i="14"/>
  <c r="A16" i="14"/>
  <c r="A15" i="14"/>
  <c r="A14" i="14"/>
  <c r="A13" i="14"/>
  <c r="A10" i="14"/>
  <c r="C1" i="14"/>
  <c r="A18" i="10"/>
  <c r="C1" i="13"/>
  <c r="A17" i="11"/>
  <c r="A16" i="11"/>
  <c r="A15" i="11"/>
  <c r="A14" i="11"/>
  <c r="A13" i="11"/>
  <c r="A12" i="11"/>
  <c r="A11" i="11"/>
  <c r="A10" i="11"/>
  <c r="C1" i="11"/>
  <c r="A17" i="10"/>
  <c r="A16" i="10"/>
  <c r="A15" i="10"/>
  <c r="A14" i="10"/>
  <c r="A13" i="10"/>
  <c r="A11" i="10"/>
  <c r="A10" i="10"/>
  <c r="F4" i="10"/>
  <c r="C1" i="10"/>
  <c r="C1" i="6"/>
</calcChain>
</file>

<file path=xl/sharedStrings.xml><?xml version="1.0" encoding="utf-8"?>
<sst xmlns="http://schemas.openxmlformats.org/spreadsheetml/2006/main" count="638" uniqueCount="148">
  <si>
    <t>更新履歴</t>
    <rPh sb="0" eb="2">
      <t>コウシン</t>
    </rPh>
    <rPh sb="2" eb="4">
      <t>リレキ</t>
    </rPh>
    <phoneticPr fontId="4"/>
  </si>
  <si>
    <t>バージョン</t>
    <phoneticPr fontId="4"/>
  </si>
  <si>
    <t>作成･更新日</t>
    <rPh sb="0" eb="2">
      <t>サクセイ</t>
    </rPh>
    <rPh sb="3" eb="6">
      <t>コウシンビ</t>
    </rPh>
    <phoneticPr fontId="4"/>
  </si>
  <si>
    <t>改版理由・箇所</t>
    <rPh sb="0" eb="2">
      <t>カイハン</t>
    </rPh>
    <rPh sb="2" eb="4">
      <t>リユウ</t>
    </rPh>
    <rPh sb="5" eb="7">
      <t>カショ</t>
    </rPh>
    <phoneticPr fontId="4"/>
  </si>
  <si>
    <t>担当</t>
    <rPh sb="0" eb="2">
      <t>タントウ</t>
    </rPh>
    <phoneticPr fontId="4"/>
  </si>
  <si>
    <t>新規作成</t>
    <rPh sb="0" eb="2">
      <t>シンキ</t>
    </rPh>
    <rPh sb="2" eb="4">
      <t>サクセイ</t>
    </rPh>
    <phoneticPr fontId="3"/>
  </si>
  <si>
    <t>0.0.1</t>
    <phoneticPr fontId="3"/>
  </si>
  <si>
    <t>社内研修サポートアプリ</t>
  </si>
  <si>
    <t>作成日</t>
    <rPh sb="0" eb="2">
      <t>サクセイイ</t>
    </rPh>
    <rPh sb="2" eb="3">
      <t>ビ</t>
    </rPh>
    <phoneticPr fontId="3"/>
  </si>
  <si>
    <t>更新日</t>
    <rPh sb="0" eb="2">
      <t>コウシン</t>
    </rPh>
    <rPh sb="2" eb="3">
      <t>ビ</t>
    </rPh>
    <phoneticPr fontId="3"/>
  </si>
  <si>
    <t>文書名</t>
    <rPh sb="0" eb="2">
      <t>ブンショ</t>
    </rPh>
    <rPh sb="2" eb="3">
      <t>メイ</t>
    </rPh>
    <phoneticPr fontId="3"/>
  </si>
  <si>
    <t>米丸</t>
    <rPh sb="0" eb="2">
      <t>ヨネマル</t>
    </rPh>
    <phoneticPr fontId="3"/>
  </si>
  <si>
    <t>作成者</t>
    <rPh sb="0" eb="3">
      <t>サクセイシャ</t>
    </rPh>
    <phoneticPr fontId="3"/>
  </si>
  <si>
    <t>更新者</t>
    <rPh sb="0" eb="3">
      <t>コウシンシャ</t>
    </rPh>
    <phoneticPr fontId="3"/>
  </si>
  <si>
    <t>米丸ことみ</t>
    <rPh sb="0" eb="2">
      <t>ヨネマル</t>
    </rPh>
    <phoneticPr fontId="3"/>
  </si>
  <si>
    <t>アビックトレーニング（仮）DB定義書</t>
    <rPh sb="15" eb="18">
      <t>テイギショ</t>
    </rPh>
    <phoneticPr fontId="3"/>
  </si>
  <si>
    <t>成績</t>
    <rPh sb="0" eb="2">
      <t>セイセキ</t>
    </rPh>
    <phoneticPr fontId="3"/>
  </si>
  <si>
    <t>苦手問題</t>
    <rPh sb="0" eb="4">
      <t>ニガテモンダイ</t>
    </rPh>
    <phoneticPr fontId="3"/>
  </si>
  <si>
    <t>テーブル物理名</t>
    <rPh sb="4" eb="6">
      <t>ブツリ</t>
    </rPh>
    <rPh sb="6" eb="7">
      <t>メイ</t>
    </rPh>
    <phoneticPr fontId="3"/>
  </si>
  <si>
    <t>No</t>
    <phoneticPr fontId="3"/>
  </si>
  <si>
    <t>初期値</t>
    <rPh sb="0" eb="3">
      <t>ショキチ</t>
    </rPh>
    <phoneticPr fontId="3"/>
  </si>
  <si>
    <t>説明</t>
    <rPh sb="0" eb="2">
      <t>セツメイ</t>
    </rPh>
    <phoneticPr fontId="3"/>
  </si>
  <si>
    <t>PK</t>
    <phoneticPr fontId="3"/>
  </si>
  <si>
    <t>No</t>
    <phoneticPr fontId="3"/>
  </si>
  <si>
    <t>テーブル論理名</t>
    <rPh sb="4" eb="6">
      <t>ロンリ</t>
    </rPh>
    <rPh sb="6" eb="7">
      <t>メイ</t>
    </rPh>
    <phoneticPr fontId="3"/>
  </si>
  <si>
    <t>M_QUESTION</t>
    <phoneticPr fontId="3"/>
  </si>
  <si>
    <t>M_ANSWER</t>
    <phoneticPr fontId="3"/>
  </si>
  <si>
    <t>T_SCORE</t>
    <phoneticPr fontId="3"/>
  </si>
  <si>
    <t>T_WEAK_POINT</t>
    <phoneticPr fontId="3"/>
  </si>
  <si>
    <t>テーブル論理名称</t>
    <rPh sb="4" eb="6">
      <t>ロンリ</t>
    </rPh>
    <rPh sb="6" eb="8">
      <t>メイショウ</t>
    </rPh>
    <phoneticPr fontId="3"/>
  </si>
  <si>
    <t>テーブル物理名称</t>
    <rPh sb="4" eb="6">
      <t>ブツリ</t>
    </rPh>
    <rPh sb="6" eb="8">
      <t>メイショウ</t>
    </rPh>
    <phoneticPr fontId="3"/>
  </si>
  <si>
    <t>説明</t>
    <rPh sb="0" eb="2">
      <t>セツメイ</t>
    </rPh>
    <phoneticPr fontId="3"/>
  </si>
  <si>
    <t>ユーザ情報を格納します。</t>
    <rPh sb="3" eb="5">
      <t>ジョウホウ</t>
    </rPh>
    <rPh sb="6" eb="8">
      <t>カクノウ</t>
    </rPh>
    <phoneticPr fontId="3"/>
  </si>
  <si>
    <t>No</t>
    <phoneticPr fontId="3"/>
  </si>
  <si>
    <t>論理名称</t>
    <rPh sb="0" eb="2">
      <t>ロンリ</t>
    </rPh>
    <rPh sb="2" eb="4">
      <t>メイショウ</t>
    </rPh>
    <phoneticPr fontId="3"/>
  </si>
  <si>
    <t>物理名称</t>
    <rPh sb="0" eb="2">
      <t>ブツリ</t>
    </rPh>
    <rPh sb="2" eb="4">
      <t>メイショウ</t>
    </rPh>
    <phoneticPr fontId="3"/>
  </si>
  <si>
    <t>データ型</t>
    <rPh sb="3" eb="4">
      <t>ガタ</t>
    </rPh>
    <phoneticPr fontId="3"/>
  </si>
  <si>
    <t>桁数</t>
    <rPh sb="0" eb="2">
      <t>ケタスウ</t>
    </rPh>
    <phoneticPr fontId="3"/>
  </si>
  <si>
    <t>初期値</t>
    <rPh sb="0" eb="3">
      <t>ショキチ</t>
    </rPh>
    <phoneticPr fontId="3"/>
  </si>
  <si>
    <t>PK</t>
    <phoneticPr fontId="3"/>
  </si>
  <si>
    <t>NN</t>
    <phoneticPr fontId="3"/>
  </si>
  <si>
    <t>char</t>
    <phoneticPr fontId="3"/>
  </si>
  <si>
    <t>登録年月日</t>
    <rPh sb="0" eb="2">
      <t>トウロク</t>
    </rPh>
    <rPh sb="2" eb="5">
      <t>ネンガッピ</t>
    </rPh>
    <phoneticPr fontId="3"/>
  </si>
  <si>
    <t>登録ユーザID</t>
    <rPh sb="0" eb="2">
      <t>トウロク</t>
    </rPh>
    <phoneticPr fontId="3"/>
  </si>
  <si>
    <t>varchar</t>
    <phoneticPr fontId="3"/>
  </si>
  <si>
    <t>○</t>
    <phoneticPr fontId="3"/>
  </si>
  <si>
    <t>パスワード</t>
    <phoneticPr fontId="3"/>
  </si>
  <si>
    <t>PASSWORD</t>
    <phoneticPr fontId="3"/>
  </si>
  <si>
    <t>varchar</t>
    <phoneticPr fontId="3"/>
  </si>
  <si>
    <t>varchar</t>
    <phoneticPr fontId="3"/>
  </si>
  <si>
    <t>INSERT_USER_ID</t>
    <phoneticPr fontId="3"/>
  </si>
  <si>
    <t>INSERT_DATE</t>
    <phoneticPr fontId="3"/>
  </si>
  <si>
    <t>timestamp</t>
    <phoneticPr fontId="3"/>
  </si>
  <si>
    <t>更新ユーザID</t>
    <rPh sb="0" eb="2">
      <t>コウシン</t>
    </rPh>
    <phoneticPr fontId="3"/>
  </si>
  <si>
    <t>UPDATE_USER_ID</t>
    <phoneticPr fontId="3"/>
  </si>
  <si>
    <t>varchar</t>
    <phoneticPr fontId="3"/>
  </si>
  <si>
    <t>更新年月日</t>
    <rPh sb="0" eb="2">
      <t>コウシン</t>
    </rPh>
    <rPh sb="2" eb="5">
      <t>ネンガッピ</t>
    </rPh>
    <phoneticPr fontId="3"/>
  </si>
  <si>
    <t>UPDATE_DATE</t>
    <phoneticPr fontId="3"/>
  </si>
  <si>
    <t>削除フラグ</t>
    <rPh sb="0" eb="2">
      <t>サクジョ</t>
    </rPh>
    <phoneticPr fontId="3"/>
  </si>
  <si>
    <t>DELETE_FLG</t>
    <phoneticPr fontId="3"/>
  </si>
  <si>
    <t>ユーザ参照権限</t>
    <rPh sb="3" eb="5">
      <t>サンショウ</t>
    </rPh>
    <rPh sb="5" eb="7">
      <t>ケンゲン</t>
    </rPh>
    <phoneticPr fontId="3"/>
  </si>
  <si>
    <t>T_USER_AUTHORITY</t>
    <phoneticPr fontId="3"/>
  </si>
  <si>
    <t>ユーザID</t>
    <phoneticPr fontId="3"/>
  </si>
  <si>
    <t>表示順</t>
    <rPh sb="0" eb="2">
      <t>ヒョウジ</t>
    </rPh>
    <rPh sb="2" eb="3">
      <t>ジュン</t>
    </rPh>
    <phoneticPr fontId="3"/>
  </si>
  <si>
    <t>得点</t>
    <rPh sb="0" eb="2">
      <t>トクテン</t>
    </rPh>
    <phoneticPr fontId="3"/>
  </si>
  <si>
    <t>問題カテゴリID</t>
    <rPh sb="0" eb="2">
      <t>モンダイ</t>
    </rPh>
    <phoneticPr fontId="3"/>
  </si>
  <si>
    <t>char</t>
    <phoneticPr fontId="3"/>
  </si>
  <si>
    <t>M_QUESTION_CAT</t>
    <phoneticPr fontId="3"/>
  </si>
  <si>
    <t>QUESTION_CAT_ID</t>
    <phoneticPr fontId="3"/>
  </si>
  <si>
    <t>問題ID</t>
    <rPh sb="0" eb="2">
      <t>モンダイ</t>
    </rPh>
    <phoneticPr fontId="3"/>
  </si>
  <si>
    <t>問題レベルID</t>
    <rPh sb="0" eb="2">
      <t>モンダイ</t>
    </rPh>
    <phoneticPr fontId="3"/>
  </si>
  <si>
    <t>問題サブカテゴリID</t>
    <rPh sb="0" eb="2">
      <t>モンダイ</t>
    </rPh>
    <phoneticPr fontId="3"/>
  </si>
  <si>
    <t>QUESTION_LEVEL_ID</t>
    <phoneticPr fontId="3"/>
  </si>
  <si>
    <t>QUESTION_CAT_ID</t>
    <phoneticPr fontId="3"/>
  </si>
  <si>
    <t>QUESTION_SUB_CAT_ID</t>
    <phoneticPr fontId="3"/>
  </si>
  <si>
    <t>QUESTION_ID</t>
    <phoneticPr fontId="3"/>
  </si>
  <si>
    <t>○</t>
    <phoneticPr fontId="3"/>
  </si>
  <si>
    <t>問題レベルを格納します。</t>
    <rPh sb="0" eb="2">
      <t>モンダイ</t>
    </rPh>
    <rPh sb="6" eb="8">
      <t>カクノウ</t>
    </rPh>
    <phoneticPr fontId="3"/>
  </si>
  <si>
    <t>問題カテゴリ情報を格納します。</t>
    <rPh sb="0" eb="2">
      <t>モンダイ</t>
    </rPh>
    <rPh sb="6" eb="8">
      <t>ジョウホウ</t>
    </rPh>
    <rPh sb="9" eb="11">
      <t>カクノウ</t>
    </rPh>
    <phoneticPr fontId="3"/>
  </si>
  <si>
    <t>SORT_NUMBER</t>
    <phoneticPr fontId="3"/>
  </si>
  <si>
    <t>問題サブカテゴリ情報を格納します。</t>
    <rPh sb="0" eb="2">
      <t>モンダイ</t>
    </rPh>
    <rPh sb="8" eb="10">
      <t>ジョウホウ</t>
    </rPh>
    <rPh sb="11" eb="13">
      <t>カクノウ</t>
    </rPh>
    <phoneticPr fontId="3"/>
  </si>
  <si>
    <t>解答を格納します。</t>
    <rPh sb="3" eb="5">
      <t>カクノウ</t>
    </rPh>
    <phoneticPr fontId="3"/>
  </si>
  <si>
    <t>問題を格納します。</t>
    <rPh sb="3" eb="5">
      <t>カクノウ</t>
    </rPh>
    <phoneticPr fontId="3"/>
  </si>
  <si>
    <t>USER_ID</t>
    <phoneticPr fontId="3"/>
  </si>
  <si>
    <t>time</t>
  </si>
  <si>
    <t>苦手問題を格納します。</t>
    <rPh sb="5" eb="7">
      <t>カクノウ</t>
    </rPh>
    <phoneticPr fontId="3"/>
  </si>
  <si>
    <t>ユーザマスタ</t>
    <phoneticPr fontId="3"/>
  </si>
  <si>
    <t>問題レベルマスタ</t>
    <rPh sb="0" eb="2">
      <t>モンダイ</t>
    </rPh>
    <phoneticPr fontId="3"/>
  </si>
  <si>
    <t>問題カテゴリマスタ</t>
    <rPh sb="0" eb="2">
      <t>モンダイ</t>
    </rPh>
    <phoneticPr fontId="3"/>
  </si>
  <si>
    <t>問題サブカテゴリマスタ</t>
    <rPh sb="0" eb="2">
      <t>モンダイ</t>
    </rPh>
    <phoneticPr fontId="3"/>
  </si>
  <si>
    <t>問題マスタ</t>
    <rPh sb="0" eb="2">
      <t>モンダイ</t>
    </rPh>
    <phoneticPr fontId="3"/>
  </si>
  <si>
    <t>解答マスタ</t>
    <rPh sb="0" eb="2">
      <t>カイトウ</t>
    </rPh>
    <phoneticPr fontId="3"/>
  </si>
  <si>
    <t>一覧に戻る</t>
    <rPh sb="0" eb="2">
      <t>イチラン</t>
    </rPh>
    <rPh sb="3" eb="4">
      <t>モド</t>
    </rPh>
    <phoneticPr fontId="3"/>
  </si>
  <si>
    <t>１．テーブル一覧</t>
    <rPh sb="6" eb="8">
      <t>イチラン</t>
    </rPh>
    <phoneticPr fontId="3"/>
  </si>
  <si>
    <t>氏名（姓）</t>
    <rPh sb="0" eb="2">
      <t>シメイ</t>
    </rPh>
    <rPh sb="3" eb="4">
      <t>セイ</t>
    </rPh>
    <phoneticPr fontId="3"/>
  </si>
  <si>
    <t>氏名（名）</t>
    <rPh sb="0" eb="2">
      <t>シメイ</t>
    </rPh>
    <rPh sb="3" eb="4">
      <t>メイ</t>
    </rPh>
    <phoneticPr fontId="3"/>
  </si>
  <si>
    <t>LAST_NAME</t>
    <phoneticPr fontId="3"/>
  </si>
  <si>
    <t>FIRST_NAME</t>
    <phoneticPr fontId="3"/>
  </si>
  <si>
    <t>FK</t>
    <phoneticPr fontId="3"/>
  </si>
  <si>
    <t>CMN001</t>
    <phoneticPr fontId="3"/>
  </si>
  <si>
    <t>コード値</t>
    <rPh sb="3" eb="4">
      <t>アタイ</t>
    </rPh>
    <phoneticPr fontId="3"/>
  </si>
  <si>
    <t>説明</t>
    <rPh sb="0" eb="2">
      <t>セツメイ</t>
    </rPh>
    <phoneticPr fontId="3"/>
  </si>
  <si>
    <t>問題レベル名称</t>
    <rPh sb="0" eb="2">
      <t>モンダイ</t>
    </rPh>
    <rPh sb="5" eb="7">
      <t>メイショウ</t>
    </rPh>
    <phoneticPr fontId="3"/>
  </si>
  <si>
    <t>問題カテゴリ名称</t>
    <rPh sb="0" eb="2">
      <t>モンダイ</t>
    </rPh>
    <rPh sb="6" eb="8">
      <t>メイショウ</t>
    </rPh>
    <phoneticPr fontId="3"/>
  </si>
  <si>
    <t>○</t>
    <phoneticPr fontId="3"/>
  </si>
  <si>
    <t>解答ID</t>
    <rPh sb="0" eb="2">
      <t>カイトウ</t>
    </rPh>
    <phoneticPr fontId="3"/>
  </si>
  <si>
    <t>ANSWER_ID</t>
    <phoneticPr fontId="3"/>
  </si>
  <si>
    <t>問題サブカテゴリ名称</t>
    <rPh sb="0" eb="2">
      <t>モンダイ</t>
    </rPh>
    <rPh sb="8" eb="10">
      <t>メイショウ</t>
    </rPh>
    <phoneticPr fontId="3"/>
  </si>
  <si>
    <t>QUESTION_SUB_CAT_NAME</t>
    <phoneticPr fontId="3"/>
  </si>
  <si>
    <t>○</t>
    <phoneticPr fontId="3"/>
  </si>
  <si>
    <t>○</t>
    <phoneticPr fontId="3"/>
  </si>
  <si>
    <t>問題数</t>
    <rPh sb="0" eb="3">
      <t>モンダイスウ</t>
    </rPh>
    <phoneticPr fontId="3"/>
  </si>
  <si>
    <t>誤答数</t>
    <rPh sb="0" eb="3">
      <t>ゴトウスウ</t>
    </rPh>
    <phoneticPr fontId="3"/>
  </si>
  <si>
    <t>実施日時</t>
    <rPh sb="0" eb="2">
      <t>ジッシ</t>
    </rPh>
    <rPh sb="2" eb="4">
      <t>ニチジ</t>
    </rPh>
    <phoneticPr fontId="3"/>
  </si>
  <si>
    <t>合格フラグ</t>
    <rPh sb="0" eb="2">
      <t>ゴウカク</t>
    </rPh>
    <phoneticPr fontId="3"/>
  </si>
  <si>
    <t>SCORE</t>
    <phoneticPr fontId="3"/>
  </si>
  <si>
    <t>PASS_FLG</t>
    <phoneticPr fontId="3"/>
  </si>
  <si>
    <t>ANS_NUM</t>
    <phoneticPr fontId="3"/>
  </si>
  <si>
    <t>WRONG_ANS_NUM</t>
    <phoneticPr fontId="3"/>
  </si>
  <si>
    <t>総合問題の場合のみ登録される</t>
    <rPh sb="0" eb="2">
      <t>ソウゴウ</t>
    </rPh>
    <rPh sb="2" eb="4">
      <t>モンダイ</t>
    </rPh>
    <rPh sb="5" eb="7">
      <t>バアイ</t>
    </rPh>
    <rPh sb="9" eb="11">
      <t>トウロク</t>
    </rPh>
    <phoneticPr fontId="3"/>
  </si>
  <si>
    <t>総合問題でない場合のみ登録される</t>
    <rPh sb="0" eb="2">
      <t>ソウゴウ</t>
    </rPh>
    <rPh sb="2" eb="4">
      <t>モンダイ</t>
    </rPh>
    <rPh sb="7" eb="9">
      <t>バアイ</t>
    </rPh>
    <rPh sb="11" eb="13">
      <t>トウロク</t>
    </rPh>
    <phoneticPr fontId="3"/>
  </si>
  <si>
    <t>問題ID + 連番２桁</t>
    <rPh sb="7" eb="9">
      <t>レンバン</t>
    </rPh>
    <rPh sb="10" eb="11">
      <t>ケタ</t>
    </rPh>
    <phoneticPr fontId="3"/>
  </si>
  <si>
    <t>問題レベルID + 問題カテゴリID + 問題サブカテゴリID + 連番３桁</t>
    <rPh sb="34" eb="36">
      <t>レンバン</t>
    </rPh>
    <rPh sb="37" eb="38">
      <t>ケタ</t>
    </rPh>
    <phoneticPr fontId="3"/>
  </si>
  <si>
    <t>TRY_DATE</t>
    <phoneticPr fontId="3"/>
  </si>
  <si>
    <t>成績を格納します。</t>
    <rPh sb="0" eb="2">
      <t>セイセキ</t>
    </rPh>
    <rPh sb="3" eb="5">
      <t>カクノウ</t>
    </rPh>
    <phoneticPr fontId="3"/>
  </si>
  <si>
    <t>QUESTION_LEVEL_ID</t>
  </si>
  <si>
    <t>varchar</t>
    <phoneticPr fontId="3"/>
  </si>
  <si>
    <t>INSERT_USER_ID</t>
    <phoneticPr fontId="3"/>
  </si>
  <si>
    <t>INSERT_DATE</t>
    <phoneticPr fontId="3"/>
  </si>
  <si>
    <t>DELETE_FLG</t>
    <phoneticPr fontId="3"/>
  </si>
  <si>
    <t>M_USER</t>
    <phoneticPr fontId="3"/>
  </si>
  <si>
    <t>M_QUESTION_LEVEL</t>
    <phoneticPr fontId="3"/>
  </si>
  <si>
    <t>M_SUB_QUESTION_CAT</t>
    <phoneticPr fontId="3"/>
  </si>
  <si>
    <t xml:space="preserve">SCORE_ID </t>
    <phoneticPr fontId="3"/>
  </si>
  <si>
    <t>スコアID</t>
    <phoneticPr fontId="3"/>
  </si>
  <si>
    <t>identity</t>
    <phoneticPr fontId="3"/>
  </si>
  <si>
    <t>QUESTION_LEVEL_ID</t>
    <phoneticPr fontId="3"/>
  </si>
  <si>
    <t>QUESTION_LEVEL_ID</t>
    <phoneticPr fontId="3"/>
  </si>
  <si>
    <t>DELETE_FLG</t>
    <phoneticPr fontId="3"/>
  </si>
  <si>
    <t>QUESTION_SUB_CAT_NAME</t>
    <phoneticPr fontId="3"/>
  </si>
  <si>
    <t>QUESTION_LEVEL_ID</t>
    <phoneticPr fontId="3"/>
  </si>
  <si>
    <t>QUESTION_LEVEL_NAME</t>
    <phoneticPr fontId="3"/>
  </si>
  <si>
    <t>QUESTION_CAT_NAME</t>
    <phoneticPr fontId="3"/>
  </si>
  <si>
    <t>SORT_NUMBER</t>
    <phoneticPr fontId="3"/>
  </si>
  <si>
    <t>INSERT_USER_ID</t>
    <phoneticPr fontId="3"/>
  </si>
  <si>
    <t>INSERT_USER_ID</t>
    <phoneticPr fontId="3"/>
  </si>
  <si>
    <t>integer</t>
    <phoneticPr fontId="3"/>
  </si>
  <si>
    <t>integer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</si>
</sst>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20">
    <font>
      <sz val="12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b/>
      <sz val="16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10"/>
      <name val="ＭＳ ゴシック"/>
      <family val="3"/>
      <charset val="128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b/>
      <sz val="12"/>
      <name val="ＭＳ 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20"/>
      <name val="ＭＳ ゴシック"/>
      <family val="3"/>
      <charset val="128"/>
    </font>
    <font>
      <u/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u/>
      <sz val="10"/>
      <color theme="10"/>
      <name val="ＭＳ Ｐゴシック"/>
      <family val="3"/>
      <charset val="128"/>
      <scheme val="minor"/>
    </font>
    <font>
      <u/>
      <sz val="10"/>
      <color theme="10"/>
      <name val="ＭＳ Ｐゴシック"/>
      <family val="2"/>
      <charset val="128"/>
      <scheme val="minor"/>
    </font>
    <font>
      <u/>
      <sz val="8"/>
      <color theme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5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1">
    <xf numFmtId="0" fontId="0" fillId="0" borderId="0" xfId="0"/>
    <xf numFmtId="0" fontId="5" fillId="0" borderId="0" xfId="1" applyFont="1" applyFill="1" applyBorder="1" applyAlignment="1"/>
    <xf numFmtId="0" fontId="5" fillId="0" borderId="0" xfId="0" applyFont="1" applyFill="1" applyBorder="1" applyAlignment="1"/>
    <xf numFmtId="0" fontId="6" fillId="0" borderId="0" xfId="1" applyFont="1" applyFill="1" applyBorder="1" applyAlignment="1"/>
    <xf numFmtId="0" fontId="2" fillId="0" borderId="0" xfId="1" applyFont="1" applyFill="1" applyBorder="1" applyAlignment="1"/>
    <xf numFmtId="0" fontId="2" fillId="0" borderId="0" xfId="1" applyFont="1" applyFill="1" applyBorder="1" applyAlignment="1">
      <alignment wrapText="1"/>
    </xf>
    <xf numFmtId="0" fontId="10" fillId="0" borderId="0" xfId="0" applyFont="1"/>
    <xf numFmtId="0" fontId="11" fillId="0" borderId="0" xfId="1" applyFont="1" applyFill="1" applyBorder="1" applyAlignment="1"/>
    <xf numFmtId="0" fontId="9" fillId="0" borderId="0" xfId="1" applyFont="1" applyFill="1" applyBorder="1" applyAlignment="1"/>
    <xf numFmtId="0" fontId="12" fillId="0" borderId="0" xfId="1" applyFont="1" applyFill="1" applyBorder="1" applyAlignment="1"/>
    <xf numFmtId="0" fontId="13" fillId="0" borderId="0" xfId="0" applyFont="1"/>
    <xf numFmtId="0" fontId="10" fillId="0" borderId="4" xfId="0" applyFont="1" applyBorder="1"/>
    <xf numFmtId="0" fontId="10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7" fillId="0" borderId="0" xfId="288" applyFont="1"/>
    <xf numFmtId="0" fontId="10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5" fillId="0" borderId="2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center"/>
    </xf>
    <xf numFmtId="176" fontId="5" fillId="0" borderId="1" xfId="1" applyNumberFormat="1" applyFont="1" applyFill="1" applyBorder="1" applyAlignment="1">
      <alignment horizontal="center"/>
    </xf>
    <xf numFmtId="176" fontId="5" fillId="0" borderId="2" xfId="1" applyNumberFormat="1" applyFont="1" applyFill="1" applyBorder="1" applyAlignment="1">
      <alignment horizontal="center"/>
    </xf>
    <xf numFmtId="176" fontId="5" fillId="0" borderId="3" xfId="1" applyNumberFormat="1" applyFont="1" applyFill="1" applyBorder="1" applyAlignment="1">
      <alignment horizontal="center"/>
    </xf>
    <xf numFmtId="0" fontId="5" fillId="0" borderId="1" xfId="1" applyFont="1" applyFill="1" applyBorder="1" applyAlignment="1">
      <alignment horizontal="left"/>
    </xf>
    <xf numFmtId="0" fontId="5" fillId="0" borderId="2" xfId="1" applyFont="1" applyFill="1" applyBorder="1" applyAlignment="1">
      <alignment horizontal="left"/>
    </xf>
    <xf numFmtId="0" fontId="5" fillId="0" borderId="3" xfId="1" applyFont="1" applyFill="1" applyBorder="1" applyAlignment="1">
      <alignment horizontal="left"/>
    </xf>
    <xf numFmtId="0" fontId="5" fillId="0" borderId="4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14" fontId="5" fillId="0" borderId="4" xfId="1" applyNumberFormat="1" applyFont="1" applyFill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5" fillId="0" borderId="4" xfId="288" applyFont="1" applyBorder="1" applyAlignment="1">
      <alignment horizontal="left"/>
    </xf>
    <xf numFmtId="0" fontId="16" fillId="0" borderId="4" xfId="288" applyFont="1" applyBorder="1" applyAlignment="1">
      <alignment horizontal="left"/>
    </xf>
    <xf numFmtId="0" fontId="10" fillId="2" borderId="4" xfId="0" applyFont="1" applyFill="1" applyBorder="1" applyAlignment="1">
      <alignment horizontal="center"/>
    </xf>
    <xf numFmtId="0" fontId="5" fillId="0" borderId="4" xfId="1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2" borderId="4" xfId="0" applyFont="1" applyFill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horizontal="left" shrinkToFit="1"/>
    </xf>
    <xf numFmtId="0" fontId="10" fillId="0" borderId="4" xfId="0" applyFont="1" applyBorder="1" applyAlignment="1">
      <alignment horizontal="center"/>
    </xf>
    <xf numFmtId="0" fontId="10" fillId="0" borderId="1" xfId="0" applyFont="1" applyBorder="1" applyAlignment="1">
      <alignment horizontal="left" shrinkToFit="1"/>
    </xf>
    <xf numFmtId="0" fontId="10" fillId="0" borderId="2" xfId="0" applyFont="1" applyBorder="1" applyAlignment="1">
      <alignment horizontal="left" shrinkToFit="1"/>
    </xf>
    <xf numFmtId="0" fontId="10" fillId="0" borderId="3" xfId="0" applyFont="1" applyBorder="1" applyAlignment="1">
      <alignment horizontal="left" shrinkToFit="1"/>
    </xf>
    <xf numFmtId="0" fontId="18" fillId="0" borderId="4" xfId="0" applyFont="1" applyBorder="1" applyAlignment="1">
      <alignment horizontal="left"/>
    </xf>
    <xf numFmtId="0" fontId="19" fillId="0" borderId="4" xfId="0" applyFont="1" applyBorder="1" applyAlignment="1">
      <alignment horizontal="left"/>
    </xf>
  </cellXfs>
  <cellStyles count="295">
    <cellStyle name="ハイパーリンク" xfId="2" builtinId="8" hidden="1"/>
    <cellStyle name="ハイパーリンク" xfId="4" builtinId="8" hidden="1"/>
    <cellStyle name="ハイパーリンク" xfId="6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ハイパーリンク" xfId="122" builtinId="8" hidden="1"/>
    <cellStyle name="ハイパーリンク" xfId="124" builtinId="8" hidden="1"/>
    <cellStyle name="ハイパーリンク" xfId="126" builtinId="8" hidden="1"/>
    <cellStyle name="ハイパーリンク" xfId="128" builtinId="8" hidden="1"/>
    <cellStyle name="ハイパーリンク" xfId="130" builtinId="8" hidden="1"/>
    <cellStyle name="ハイパーリンク" xfId="132" builtinId="8" hidden="1"/>
    <cellStyle name="ハイパーリンク" xfId="134" builtinId="8" hidden="1"/>
    <cellStyle name="ハイパーリンク" xfId="136" builtinId="8" hidden="1"/>
    <cellStyle name="ハイパーリンク" xfId="138" builtinId="8" hidden="1"/>
    <cellStyle name="ハイパーリンク" xfId="140" builtinId="8" hidden="1"/>
    <cellStyle name="ハイパーリンク" xfId="142" builtinId="8" hidden="1"/>
    <cellStyle name="ハイパーリンク" xfId="144" builtinId="8" hidden="1"/>
    <cellStyle name="ハイパーリンク" xfId="146" builtinId="8" hidden="1"/>
    <cellStyle name="ハイパーリンク" xfId="148" builtinId="8" hidden="1"/>
    <cellStyle name="ハイパーリンク" xfId="150" builtinId="8" hidden="1"/>
    <cellStyle name="ハイパーリンク" xfId="152" builtinId="8" hidden="1"/>
    <cellStyle name="ハイパーリンク" xfId="154" builtinId="8" hidden="1"/>
    <cellStyle name="ハイパーリンク" xfId="156" builtinId="8" hidden="1"/>
    <cellStyle name="ハイパーリンク" xfId="158" builtinId="8" hidden="1"/>
    <cellStyle name="ハイパーリンク" xfId="160" builtinId="8" hidden="1"/>
    <cellStyle name="ハイパーリンク" xfId="162" builtinId="8" hidden="1"/>
    <cellStyle name="ハイパーリンク" xfId="164" builtinId="8" hidden="1"/>
    <cellStyle name="ハイパーリンク" xfId="166" builtinId="8" hidden="1"/>
    <cellStyle name="ハイパーリンク" xfId="168" builtinId="8" hidden="1"/>
    <cellStyle name="ハイパーリンク" xfId="170" builtinId="8" hidden="1"/>
    <cellStyle name="ハイパーリンク" xfId="172" builtinId="8" hidden="1"/>
    <cellStyle name="ハイパーリンク" xfId="174" builtinId="8" hidden="1"/>
    <cellStyle name="ハイパーリンク" xfId="176" builtinId="8" hidden="1"/>
    <cellStyle name="ハイパーリンク" xfId="178" builtinId="8" hidden="1"/>
    <cellStyle name="ハイパーリンク" xfId="180" builtinId="8" hidden="1"/>
    <cellStyle name="ハイパーリンク" xfId="182" builtinId="8" hidden="1"/>
    <cellStyle name="ハイパーリンク" xfId="184" builtinId="8" hidden="1"/>
    <cellStyle name="ハイパーリンク" xfId="186" builtinId="8" hidden="1"/>
    <cellStyle name="ハイパーリンク" xfId="188" builtinId="8" hidden="1"/>
    <cellStyle name="ハイパーリンク" xfId="190" builtinId="8" hidden="1"/>
    <cellStyle name="ハイパーリンク" xfId="192" builtinId="8" hidden="1"/>
    <cellStyle name="ハイパーリンク" xfId="194" builtinId="8" hidden="1"/>
    <cellStyle name="ハイパーリンク" xfId="196" builtinId="8" hidden="1"/>
    <cellStyle name="ハイパーリンク" xfId="198" builtinId="8" hidden="1"/>
    <cellStyle name="ハイパーリンク" xfId="200" builtinId="8" hidden="1"/>
    <cellStyle name="ハイパーリンク" xfId="202" builtinId="8" hidden="1"/>
    <cellStyle name="ハイパーリンク" xfId="204" builtinId="8" hidden="1"/>
    <cellStyle name="ハイパーリンク" xfId="206" builtinId="8" hidden="1"/>
    <cellStyle name="ハイパーリンク" xfId="208" builtinId="8" hidden="1"/>
    <cellStyle name="ハイパーリンク" xfId="210" builtinId="8" hidden="1"/>
    <cellStyle name="ハイパーリンク" xfId="212" builtinId="8" hidden="1"/>
    <cellStyle name="ハイパーリンク" xfId="214" builtinId="8" hidden="1"/>
    <cellStyle name="ハイパーリンク" xfId="216" builtinId="8" hidden="1"/>
    <cellStyle name="ハイパーリンク" xfId="218" builtinId="8" hidden="1"/>
    <cellStyle name="ハイパーリンク" xfId="220" builtinId="8" hidden="1"/>
    <cellStyle name="ハイパーリンク" xfId="222" builtinId="8" hidden="1"/>
    <cellStyle name="ハイパーリンク" xfId="224" builtinId="8" hidden="1"/>
    <cellStyle name="ハイパーリンク" xfId="226" builtinId="8" hidden="1"/>
    <cellStyle name="ハイパーリンク" xfId="228" builtinId="8" hidden="1"/>
    <cellStyle name="ハイパーリンク" xfId="230" builtinId="8" hidden="1"/>
    <cellStyle name="ハイパーリンク" xfId="232" builtinId="8" hidden="1"/>
    <cellStyle name="ハイパーリンク" xfId="234" builtinId="8" hidden="1"/>
    <cellStyle name="ハイパーリンク" xfId="236" builtinId="8" hidden="1"/>
    <cellStyle name="ハイパーリンク" xfId="238" builtinId="8" hidden="1"/>
    <cellStyle name="ハイパーリンク" xfId="240" builtinId="8" hidden="1"/>
    <cellStyle name="ハイパーリンク" xfId="242" builtinId="8" hidden="1"/>
    <cellStyle name="ハイパーリンク" xfId="244" builtinId="8" hidden="1"/>
    <cellStyle name="ハイパーリンク" xfId="246" builtinId="8" hidden="1"/>
    <cellStyle name="ハイパーリンク" xfId="248" builtinId="8" hidden="1"/>
    <cellStyle name="ハイパーリンク" xfId="250" builtinId="8" hidden="1"/>
    <cellStyle name="ハイパーリンク" xfId="252" builtinId="8" hidden="1"/>
    <cellStyle name="ハイパーリンク" xfId="254" builtinId="8" hidden="1"/>
    <cellStyle name="ハイパーリンク" xfId="256" builtinId="8" hidden="1"/>
    <cellStyle name="ハイパーリンク" xfId="258" builtinId="8" hidden="1"/>
    <cellStyle name="ハイパーリンク" xfId="260" builtinId="8" hidden="1"/>
    <cellStyle name="ハイパーリンク" xfId="262" builtinId="8" hidden="1"/>
    <cellStyle name="ハイパーリンク" xfId="264" builtinId="8" hidden="1"/>
    <cellStyle name="ハイパーリンク" xfId="266" builtinId="8" hidden="1"/>
    <cellStyle name="ハイパーリンク" xfId="268" builtinId="8" hidden="1"/>
    <cellStyle name="ハイパーリンク" xfId="270" builtinId="8" hidden="1"/>
    <cellStyle name="ハイパーリンク" xfId="272" builtinId="8" hidden="1"/>
    <cellStyle name="ハイパーリンク" xfId="274" builtinId="8" hidden="1"/>
    <cellStyle name="ハイパーリンク" xfId="276" builtinId="8" hidden="1"/>
    <cellStyle name="ハイパーリンク" xfId="278" builtinId="8" hidden="1"/>
    <cellStyle name="ハイパーリンク" xfId="280" builtinId="8" hidden="1"/>
    <cellStyle name="ハイパーリンク" xfId="282" builtinId="8" hidden="1"/>
    <cellStyle name="ハイパーリンク" xfId="284" builtinId="8" hidden="1"/>
    <cellStyle name="ハイパーリンク" xfId="286" builtinId="8" hidden="1"/>
    <cellStyle name="ハイパーリンク" xfId="288" builtinId="8"/>
    <cellStyle name="標準" xfId="0" builtinId="0"/>
    <cellStyle name="標準_システム管理" xfId="1"/>
    <cellStyle name="表示済みのハイパーリンク" xfId="3" builtinId="9" hidden="1"/>
    <cellStyle name="表示済みのハイパーリンク" xfId="5" builtinId="9" hidden="1"/>
    <cellStyle name="表示済みのハイパーリンク" xfId="7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  <cellStyle name="表示済みのハイパーリンク" xfId="123" builtinId="9" hidden="1"/>
    <cellStyle name="表示済みのハイパーリンク" xfId="125" builtinId="9" hidden="1"/>
    <cellStyle name="表示済みのハイパーリンク" xfId="127" builtinId="9" hidden="1"/>
    <cellStyle name="表示済みのハイパーリンク" xfId="129" builtinId="9" hidden="1"/>
    <cellStyle name="表示済みのハイパーリンク" xfId="131" builtinId="9" hidden="1"/>
    <cellStyle name="表示済みのハイパーリンク" xfId="133" builtinId="9" hidden="1"/>
    <cellStyle name="表示済みのハイパーリンク" xfId="135" builtinId="9" hidden="1"/>
    <cellStyle name="表示済みのハイパーリンク" xfId="137" builtinId="9" hidden="1"/>
    <cellStyle name="表示済みのハイパーリンク" xfId="139" builtinId="9" hidden="1"/>
    <cellStyle name="表示済みのハイパーリンク" xfId="141" builtinId="9" hidden="1"/>
    <cellStyle name="表示済みのハイパーリンク" xfId="143" builtinId="9" hidden="1"/>
    <cellStyle name="表示済みのハイパーリンク" xfId="145" builtinId="9" hidden="1"/>
    <cellStyle name="表示済みのハイパーリンク" xfId="147" builtinId="9" hidden="1"/>
    <cellStyle name="表示済みのハイパーリンク" xfId="149" builtinId="9" hidden="1"/>
    <cellStyle name="表示済みのハイパーリンク" xfId="151" builtinId="9" hidden="1"/>
    <cellStyle name="表示済みのハイパーリンク" xfId="153" builtinId="9" hidden="1"/>
    <cellStyle name="表示済みのハイパーリンク" xfId="155" builtinId="9" hidden="1"/>
    <cellStyle name="表示済みのハイパーリンク" xfId="157" builtinId="9" hidden="1"/>
    <cellStyle name="表示済みのハイパーリンク" xfId="159" builtinId="9" hidden="1"/>
    <cellStyle name="表示済みのハイパーリンク" xfId="161" builtinId="9" hidden="1"/>
    <cellStyle name="表示済みのハイパーリンク" xfId="163" builtinId="9" hidden="1"/>
    <cellStyle name="表示済みのハイパーリンク" xfId="165" builtinId="9" hidden="1"/>
    <cellStyle name="表示済みのハイパーリンク" xfId="167" builtinId="9" hidden="1"/>
    <cellStyle name="表示済みのハイパーリンク" xfId="169" builtinId="9" hidden="1"/>
    <cellStyle name="表示済みのハイパーリンク" xfId="171" builtinId="9" hidden="1"/>
    <cellStyle name="表示済みのハイパーリンク" xfId="173" builtinId="9" hidden="1"/>
    <cellStyle name="表示済みのハイパーリンク" xfId="175" builtinId="9" hidden="1"/>
    <cellStyle name="表示済みのハイパーリンク" xfId="177" builtinId="9" hidden="1"/>
    <cellStyle name="表示済みのハイパーリンク" xfId="179" builtinId="9" hidden="1"/>
    <cellStyle name="表示済みのハイパーリンク" xfId="181" builtinId="9" hidden="1"/>
    <cellStyle name="表示済みのハイパーリンク" xfId="183" builtinId="9" hidden="1"/>
    <cellStyle name="表示済みのハイパーリンク" xfId="185" builtinId="9" hidden="1"/>
    <cellStyle name="表示済みのハイパーリンク" xfId="187" builtinId="9" hidden="1"/>
    <cellStyle name="表示済みのハイパーリンク" xfId="189" builtinId="9" hidden="1"/>
    <cellStyle name="表示済みのハイパーリンク" xfId="191" builtinId="9" hidden="1"/>
    <cellStyle name="表示済みのハイパーリンク" xfId="193" builtinId="9" hidden="1"/>
    <cellStyle name="表示済みのハイパーリンク" xfId="195" builtinId="9" hidden="1"/>
    <cellStyle name="表示済みのハイパーリンク" xfId="197" builtinId="9" hidden="1"/>
    <cellStyle name="表示済みのハイパーリンク" xfId="199" builtinId="9" hidden="1"/>
    <cellStyle name="表示済みのハイパーリンク" xfId="201" builtinId="9" hidden="1"/>
    <cellStyle name="表示済みのハイパーリンク" xfId="203" builtinId="9" hidden="1"/>
    <cellStyle name="表示済みのハイパーリンク" xfId="205" builtinId="9" hidden="1"/>
    <cellStyle name="表示済みのハイパーリンク" xfId="207" builtinId="9" hidden="1"/>
    <cellStyle name="表示済みのハイパーリンク" xfId="209" builtinId="9" hidden="1"/>
    <cellStyle name="表示済みのハイパーリンク" xfId="211" builtinId="9" hidden="1"/>
    <cellStyle name="表示済みのハイパーリンク" xfId="213" builtinId="9" hidden="1"/>
    <cellStyle name="表示済みのハイパーリンク" xfId="215" builtinId="9" hidden="1"/>
    <cellStyle name="表示済みのハイパーリンク" xfId="217" builtinId="9" hidden="1"/>
    <cellStyle name="表示済みのハイパーリンク" xfId="219" builtinId="9" hidden="1"/>
    <cellStyle name="表示済みのハイパーリンク" xfId="221" builtinId="9" hidden="1"/>
    <cellStyle name="表示済みのハイパーリンク" xfId="223" builtinId="9" hidden="1"/>
    <cellStyle name="表示済みのハイパーリンク" xfId="225" builtinId="9" hidden="1"/>
    <cellStyle name="表示済みのハイパーリンク" xfId="227" builtinId="9" hidden="1"/>
    <cellStyle name="表示済みのハイパーリンク" xfId="229" builtinId="9" hidden="1"/>
    <cellStyle name="表示済みのハイパーリンク" xfId="231" builtinId="9" hidden="1"/>
    <cellStyle name="表示済みのハイパーリンク" xfId="233" builtinId="9" hidden="1"/>
    <cellStyle name="表示済みのハイパーリンク" xfId="235" builtinId="9" hidden="1"/>
    <cellStyle name="表示済みのハイパーリンク" xfId="237" builtinId="9" hidden="1"/>
    <cellStyle name="表示済みのハイパーリンク" xfId="239" builtinId="9" hidden="1"/>
    <cellStyle name="表示済みのハイパーリンク" xfId="241" builtinId="9" hidden="1"/>
    <cellStyle name="表示済みのハイパーリンク" xfId="243" builtinId="9" hidden="1"/>
    <cellStyle name="表示済みのハイパーリンク" xfId="245" builtinId="9" hidden="1"/>
    <cellStyle name="表示済みのハイパーリンク" xfId="247" builtinId="9" hidden="1"/>
    <cellStyle name="表示済みのハイパーリンク" xfId="249" builtinId="9" hidden="1"/>
    <cellStyle name="表示済みのハイパーリンク" xfId="251" builtinId="9" hidden="1"/>
    <cellStyle name="表示済みのハイパーリンク" xfId="253" builtinId="9" hidden="1"/>
    <cellStyle name="表示済みのハイパーリンク" xfId="255" builtinId="9" hidden="1"/>
    <cellStyle name="表示済みのハイパーリンク" xfId="257" builtinId="9" hidden="1"/>
    <cellStyle name="表示済みのハイパーリンク" xfId="259" builtinId="9" hidden="1"/>
    <cellStyle name="表示済みのハイパーリンク" xfId="261" builtinId="9" hidden="1"/>
    <cellStyle name="表示済みのハイパーリンク" xfId="263" builtinId="9" hidden="1"/>
    <cellStyle name="表示済みのハイパーリンク" xfId="265" builtinId="9" hidden="1"/>
    <cellStyle name="表示済みのハイパーリンク" xfId="267" builtinId="9" hidden="1"/>
    <cellStyle name="表示済みのハイパーリンク" xfId="269" builtinId="9" hidden="1"/>
    <cellStyle name="表示済みのハイパーリンク" xfId="271" builtinId="9" hidden="1"/>
    <cellStyle name="表示済みのハイパーリンク" xfId="273" builtinId="9" hidden="1"/>
    <cellStyle name="表示済みのハイパーリンク" xfId="275" builtinId="9" hidden="1"/>
    <cellStyle name="表示済みのハイパーリンク" xfId="277" builtinId="9" hidden="1"/>
    <cellStyle name="表示済みのハイパーリンク" xfId="279" builtinId="9" hidden="1"/>
    <cellStyle name="表示済みのハイパーリンク" xfId="281" builtinId="9" hidden="1"/>
    <cellStyle name="表示済みのハイパーリンク" xfId="283" builtinId="9" hidden="1"/>
    <cellStyle name="表示済みのハイパーリンク" xfId="285" builtinId="9" hidden="1"/>
    <cellStyle name="表示済みのハイパーリンク" xfId="287" builtinId="9" hidden="1"/>
    <cellStyle name="表示済みのハイパーリンク" xfId="289" builtinId="9" hidden="1"/>
    <cellStyle name="表示済みのハイパーリンク" xfId="290" builtinId="9" hidden="1"/>
    <cellStyle name="表示済みのハイパーリンク" xfId="291" builtinId="9" hidden="1"/>
    <cellStyle name="表示済みのハイパーリンク" xfId="292" builtinId="9" hidden="1"/>
    <cellStyle name="表示済みのハイパーリンク" xfId="293" builtinId="9" hidden="1"/>
    <cellStyle name="表示済みのハイパーリンク" xfId="29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228600</xdr:colOff>
      <xdr:row>22</xdr:row>
      <xdr:rowOff>215900</xdr:rowOff>
    </xdr:from>
    <xdr:to>
      <xdr:col>31</xdr:col>
      <xdr:colOff>0</xdr:colOff>
      <xdr:row>25</xdr:row>
      <xdr:rowOff>3613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6900" y="5372100"/>
          <a:ext cx="2108200" cy="4544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22"/>
  <sheetViews>
    <sheetView showGridLines="0" tabSelected="1" workbookViewId="0"/>
  </sheetViews>
  <sheetFormatPr defaultColWidth="3.875" defaultRowHeight="14.25"/>
  <sheetData>
    <row r="1" spans="2:31" ht="18" customHeight="1"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2:31" ht="18" customHeight="1">
      <c r="B2" s="8" t="s">
        <v>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2:31" ht="24">
      <c r="B3" s="9" t="s">
        <v>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2:31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>
      <c r="B6" s="3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>
      <c r="B8" s="33" t="s">
        <v>1</v>
      </c>
      <c r="C8" s="34"/>
      <c r="D8" s="34"/>
      <c r="E8" s="35"/>
      <c r="F8" s="33" t="s">
        <v>2</v>
      </c>
      <c r="G8" s="34"/>
      <c r="H8" s="34"/>
      <c r="I8" s="35"/>
      <c r="J8" s="33" t="s">
        <v>3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5"/>
      <c r="AC8" s="33" t="s">
        <v>4</v>
      </c>
      <c r="AD8" s="34"/>
      <c r="AE8" s="35"/>
    </row>
    <row r="9" spans="2:31">
      <c r="B9" s="36" t="s">
        <v>6</v>
      </c>
      <c r="C9" s="37"/>
      <c r="D9" s="37"/>
      <c r="E9" s="38"/>
      <c r="F9" s="39">
        <v>41973</v>
      </c>
      <c r="G9" s="40"/>
      <c r="H9" s="40"/>
      <c r="I9" s="41"/>
      <c r="J9" s="42" t="s">
        <v>5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  <c r="AC9" s="36" t="s">
        <v>11</v>
      </c>
      <c r="AD9" s="37"/>
      <c r="AE9" s="38"/>
    </row>
    <row r="10" spans="2:31">
      <c r="B10" s="36"/>
      <c r="C10" s="37"/>
      <c r="D10" s="37"/>
      <c r="E10" s="38"/>
      <c r="F10" s="39"/>
      <c r="G10" s="40"/>
      <c r="H10" s="40"/>
      <c r="I10" s="41"/>
      <c r="J10" s="36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8"/>
      <c r="AC10" s="36"/>
      <c r="AD10" s="37"/>
      <c r="AE10" s="38"/>
    </row>
    <row r="11" spans="2:31">
      <c r="B11" s="36"/>
      <c r="C11" s="37"/>
      <c r="D11" s="37"/>
      <c r="E11" s="38"/>
      <c r="F11" s="39"/>
      <c r="G11" s="40"/>
      <c r="H11" s="40"/>
      <c r="I11" s="41"/>
      <c r="J11" s="36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8"/>
      <c r="AC11" s="36"/>
      <c r="AD11" s="37"/>
      <c r="AE11" s="38"/>
    </row>
    <row r="12" spans="2:31">
      <c r="B12" s="36"/>
      <c r="C12" s="37"/>
      <c r="D12" s="37"/>
      <c r="E12" s="38"/>
      <c r="F12" s="39"/>
      <c r="G12" s="40"/>
      <c r="H12" s="40"/>
      <c r="I12" s="41"/>
      <c r="J12" s="36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8"/>
      <c r="AC12" s="36"/>
      <c r="AD12" s="37"/>
      <c r="AE12" s="38"/>
    </row>
    <row r="13" spans="2:31">
      <c r="B13" s="36"/>
      <c r="C13" s="37"/>
      <c r="D13" s="37"/>
      <c r="E13" s="38"/>
      <c r="F13" s="39"/>
      <c r="G13" s="40"/>
      <c r="H13" s="40"/>
      <c r="I13" s="41"/>
      <c r="J13" s="36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8"/>
      <c r="AC13" s="36"/>
      <c r="AD13" s="37"/>
      <c r="AE13" s="38"/>
    </row>
    <row r="14" spans="2:31">
      <c r="B14" s="36"/>
      <c r="C14" s="37"/>
      <c r="D14" s="37"/>
      <c r="E14" s="38"/>
      <c r="F14" s="39"/>
      <c r="G14" s="40"/>
      <c r="H14" s="40"/>
      <c r="I14" s="41"/>
      <c r="J14" s="36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8"/>
      <c r="AC14" s="36"/>
      <c r="AD14" s="37"/>
      <c r="AE14" s="38"/>
    </row>
    <row r="15" spans="2:31">
      <c r="B15" s="36"/>
      <c r="C15" s="37"/>
      <c r="D15" s="37"/>
      <c r="E15" s="38"/>
      <c r="F15" s="39"/>
      <c r="G15" s="40"/>
      <c r="H15" s="40"/>
      <c r="I15" s="41"/>
      <c r="J15" s="36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8"/>
      <c r="AC15" s="36"/>
      <c r="AD15" s="37"/>
      <c r="AE15" s="38"/>
    </row>
    <row r="16" spans="2:31">
      <c r="B16" s="36"/>
      <c r="C16" s="37"/>
      <c r="D16" s="37"/>
      <c r="E16" s="38"/>
      <c r="F16" s="39"/>
      <c r="G16" s="40"/>
      <c r="H16" s="40"/>
      <c r="I16" s="41"/>
      <c r="J16" s="36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8"/>
      <c r="AC16" s="36"/>
      <c r="AD16" s="37"/>
      <c r="AE16" s="38"/>
    </row>
    <row r="17" spans="2:31">
      <c r="B17" s="36"/>
      <c r="C17" s="37"/>
      <c r="D17" s="37"/>
      <c r="E17" s="38"/>
      <c r="F17" s="39"/>
      <c r="G17" s="40"/>
      <c r="H17" s="40"/>
      <c r="I17" s="41"/>
      <c r="J17" s="36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8"/>
      <c r="AC17" s="36"/>
      <c r="AD17" s="37"/>
      <c r="AE17" s="38"/>
    </row>
    <row r="18" spans="2:31">
      <c r="B18" s="36"/>
      <c r="C18" s="37"/>
      <c r="D18" s="37"/>
      <c r="E18" s="38"/>
      <c r="F18" s="39"/>
      <c r="G18" s="40"/>
      <c r="H18" s="40"/>
      <c r="I18" s="41"/>
      <c r="J18" s="36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8"/>
      <c r="AC18" s="36"/>
      <c r="AD18" s="37"/>
      <c r="AE18" s="38"/>
    </row>
    <row r="19" spans="2:31">
      <c r="B19" s="36"/>
      <c r="C19" s="37"/>
      <c r="D19" s="37"/>
      <c r="E19" s="38"/>
      <c r="F19" s="39"/>
      <c r="G19" s="40"/>
      <c r="H19" s="40"/>
      <c r="I19" s="41"/>
      <c r="J19" s="36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8"/>
      <c r="AC19" s="36"/>
      <c r="AD19" s="37"/>
      <c r="AE19" s="38"/>
    </row>
    <row r="20" spans="2:31">
      <c r="B20" s="36"/>
      <c r="C20" s="37"/>
      <c r="D20" s="37"/>
      <c r="E20" s="38"/>
      <c r="F20" s="39"/>
      <c r="G20" s="40"/>
      <c r="H20" s="40"/>
      <c r="I20" s="41"/>
      <c r="J20" s="36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8"/>
      <c r="AC20" s="36"/>
      <c r="AD20" s="37"/>
      <c r="AE20" s="38"/>
    </row>
    <row r="21" spans="2:31">
      <c r="B21" s="36"/>
      <c r="C21" s="37"/>
      <c r="D21" s="37"/>
      <c r="E21" s="38"/>
      <c r="F21" s="39"/>
      <c r="G21" s="40"/>
      <c r="H21" s="40"/>
      <c r="I21" s="41"/>
      <c r="J21" s="36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8"/>
      <c r="AC21" s="36"/>
      <c r="AD21" s="37"/>
      <c r="AE21" s="38"/>
    </row>
    <row r="22" spans="2:31">
      <c r="B22" s="36"/>
      <c r="C22" s="37"/>
      <c r="D22" s="37"/>
      <c r="E22" s="38"/>
      <c r="F22" s="39"/>
      <c r="G22" s="40"/>
      <c r="H22" s="40"/>
      <c r="I22" s="41"/>
      <c r="J22" s="36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8"/>
      <c r="AC22" s="36"/>
      <c r="AD22" s="37"/>
      <c r="AE22" s="38"/>
    </row>
  </sheetData>
  <mergeCells count="60">
    <mergeCell ref="B22:E22"/>
    <mergeCell ref="F22:I22"/>
    <mergeCell ref="J22:AB22"/>
    <mergeCell ref="AC22:AE22"/>
    <mergeCell ref="B20:E20"/>
    <mergeCell ref="F20:I20"/>
    <mergeCell ref="J20:AB20"/>
    <mergeCell ref="AC20:AE20"/>
    <mergeCell ref="B21:E21"/>
    <mergeCell ref="F21:I21"/>
    <mergeCell ref="J21:AB21"/>
    <mergeCell ref="AC21:AE21"/>
    <mergeCell ref="B18:E18"/>
    <mergeCell ref="F18:I18"/>
    <mergeCell ref="J18:AB18"/>
    <mergeCell ref="AC18:AE18"/>
    <mergeCell ref="B19:E19"/>
    <mergeCell ref="F19:I19"/>
    <mergeCell ref="J19:AB19"/>
    <mergeCell ref="AC19:AE19"/>
    <mergeCell ref="B16:E16"/>
    <mergeCell ref="F16:I16"/>
    <mergeCell ref="J16:AB16"/>
    <mergeCell ref="AC16:AE16"/>
    <mergeCell ref="B17:E17"/>
    <mergeCell ref="F17:I17"/>
    <mergeCell ref="J17:AB17"/>
    <mergeCell ref="AC17:AE17"/>
    <mergeCell ref="B14:E14"/>
    <mergeCell ref="F14:I14"/>
    <mergeCell ref="J14:AB14"/>
    <mergeCell ref="AC14:AE14"/>
    <mergeCell ref="B15:E15"/>
    <mergeCell ref="F15:I15"/>
    <mergeCell ref="J15:AB15"/>
    <mergeCell ref="AC15:AE15"/>
    <mergeCell ref="B12:E12"/>
    <mergeCell ref="F12:I12"/>
    <mergeCell ref="J12:AB12"/>
    <mergeCell ref="AC12:AE12"/>
    <mergeCell ref="B13:E13"/>
    <mergeCell ref="F13:I13"/>
    <mergeCell ref="J13:AB13"/>
    <mergeCell ref="AC13:AE13"/>
    <mergeCell ref="B10:E10"/>
    <mergeCell ref="F10:I10"/>
    <mergeCell ref="J10:AB10"/>
    <mergeCell ref="AC10:AE10"/>
    <mergeCell ref="B11:E11"/>
    <mergeCell ref="F11:I11"/>
    <mergeCell ref="J11:AB11"/>
    <mergeCell ref="AC11:AE11"/>
    <mergeCell ref="B8:E8"/>
    <mergeCell ref="F8:I8"/>
    <mergeCell ref="J8:AB8"/>
    <mergeCell ref="AC8:AE8"/>
    <mergeCell ref="B9:E9"/>
    <mergeCell ref="F9:I9"/>
    <mergeCell ref="J9:AB9"/>
    <mergeCell ref="AC9:AE9"/>
  </mergeCells>
  <phoneticPr fontId="3"/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/>
  <headerFooter>
    <oddFooter>&amp;L&amp;"ＭＳ Ｐゴシック,標準"&amp;11&amp;K000000Copyright© 2014 AEVIC ALL Rights Reserved.&amp;C&amp;"ＭＳ Ｐゴシック,標準"&amp;K000000&amp;P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showGridLines="0" view="pageBreakPreview" zoomScaleSheetLayoutView="100" workbookViewId="0">
      <selection sqref="A1:B2"/>
    </sheetView>
  </sheetViews>
  <sheetFormatPr defaultColWidth="3.875" defaultRowHeight="12"/>
  <cols>
    <col min="1" max="16384" width="3.875" style="6"/>
  </cols>
  <sheetData>
    <row r="1" spans="1:31" ht="18" customHeight="1">
      <c r="A1" s="51" t="s">
        <v>10</v>
      </c>
      <c r="B1" s="51"/>
      <c r="C1" s="52" t="str">
        <f>表紙!B3</f>
        <v>アビックトレーニング（仮）DB定義書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6" t="s">
        <v>12</v>
      </c>
      <c r="R1" s="46"/>
      <c r="S1" s="46"/>
      <c r="T1" s="45" t="s">
        <v>14</v>
      </c>
      <c r="U1" s="45"/>
      <c r="V1" s="45"/>
      <c r="W1" s="45"/>
      <c r="X1" s="45"/>
      <c r="Y1" s="46" t="s">
        <v>8</v>
      </c>
      <c r="Z1" s="46"/>
      <c r="AA1" s="46"/>
      <c r="AB1" s="47">
        <v>41973</v>
      </c>
      <c r="AC1" s="47"/>
      <c r="AD1" s="47"/>
      <c r="AE1" s="47"/>
    </row>
    <row r="2" spans="1:31" ht="18" customHeight="1">
      <c r="A2" s="5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6" t="s">
        <v>13</v>
      </c>
      <c r="R2" s="46"/>
      <c r="S2" s="46"/>
      <c r="T2" s="45"/>
      <c r="U2" s="45"/>
      <c r="V2" s="45"/>
      <c r="W2" s="45"/>
      <c r="X2" s="45"/>
      <c r="Y2" s="46" t="s">
        <v>9</v>
      </c>
      <c r="Z2" s="46"/>
      <c r="AA2" s="46"/>
      <c r="AB2" s="45"/>
      <c r="AC2" s="45"/>
      <c r="AD2" s="45"/>
      <c r="AE2" s="4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5" spans="1:31">
      <c r="B5" s="10" t="s">
        <v>93</v>
      </c>
    </row>
    <row r="7" spans="1:31">
      <c r="B7" s="19" t="s">
        <v>23</v>
      </c>
      <c r="C7" s="53" t="s">
        <v>24</v>
      </c>
      <c r="D7" s="53"/>
      <c r="E7" s="53"/>
      <c r="F7" s="53"/>
      <c r="G7" s="53"/>
      <c r="H7" s="53" t="s">
        <v>18</v>
      </c>
      <c r="I7" s="53"/>
      <c r="J7" s="53"/>
      <c r="K7" s="53"/>
      <c r="L7" s="53"/>
      <c r="M7" s="53"/>
      <c r="N7" s="53"/>
    </row>
    <row r="8" spans="1:31">
      <c r="B8" s="11">
        <f>ROW()-7</f>
        <v>1</v>
      </c>
      <c r="C8" s="50" t="s">
        <v>86</v>
      </c>
      <c r="D8" s="50"/>
      <c r="E8" s="50"/>
      <c r="F8" s="50"/>
      <c r="G8" s="50"/>
      <c r="H8" s="48" t="s">
        <v>130</v>
      </c>
      <c r="I8" s="48"/>
      <c r="J8" s="48"/>
      <c r="K8" s="48"/>
      <c r="L8" s="48"/>
      <c r="M8" s="48"/>
      <c r="N8" s="48"/>
    </row>
    <row r="9" spans="1:31">
      <c r="B9" s="11">
        <f t="shared" ref="B9:B16" si="0">ROW()-7</f>
        <v>2</v>
      </c>
      <c r="C9" s="50" t="s">
        <v>87</v>
      </c>
      <c r="D9" s="50"/>
      <c r="E9" s="50"/>
      <c r="F9" s="50"/>
      <c r="G9" s="50"/>
      <c r="H9" s="48" t="s">
        <v>131</v>
      </c>
      <c r="I9" s="48"/>
      <c r="J9" s="48"/>
      <c r="K9" s="48"/>
      <c r="L9" s="48"/>
      <c r="M9" s="48"/>
      <c r="N9" s="48"/>
    </row>
    <row r="10" spans="1:31">
      <c r="B10" s="11">
        <f t="shared" si="0"/>
        <v>3</v>
      </c>
      <c r="C10" s="50" t="s">
        <v>88</v>
      </c>
      <c r="D10" s="50"/>
      <c r="E10" s="50"/>
      <c r="F10" s="50"/>
      <c r="G10" s="50"/>
      <c r="H10" s="48" t="s">
        <v>67</v>
      </c>
      <c r="I10" s="48"/>
      <c r="J10" s="48"/>
      <c r="K10" s="48"/>
      <c r="L10" s="48"/>
      <c r="M10" s="48"/>
      <c r="N10" s="48"/>
    </row>
    <row r="11" spans="1:31">
      <c r="B11" s="11">
        <f t="shared" si="0"/>
        <v>4</v>
      </c>
      <c r="C11" s="50" t="s">
        <v>89</v>
      </c>
      <c r="D11" s="50"/>
      <c r="E11" s="50"/>
      <c r="F11" s="50"/>
      <c r="G11" s="50"/>
      <c r="H11" s="48" t="s">
        <v>132</v>
      </c>
      <c r="I11" s="48"/>
      <c r="J11" s="48"/>
      <c r="K11" s="48"/>
      <c r="L11" s="48"/>
      <c r="M11" s="48"/>
      <c r="N11" s="48"/>
    </row>
    <row r="12" spans="1:31">
      <c r="B12" s="11">
        <f t="shared" si="0"/>
        <v>5</v>
      </c>
      <c r="C12" s="50" t="s">
        <v>90</v>
      </c>
      <c r="D12" s="50"/>
      <c r="E12" s="50"/>
      <c r="F12" s="50"/>
      <c r="G12" s="50"/>
      <c r="H12" s="48" t="s">
        <v>25</v>
      </c>
      <c r="I12" s="48"/>
      <c r="J12" s="48"/>
      <c r="K12" s="48"/>
      <c r="L12" s="48"/>
      <c r="M12" s="48"/>
      <c r="N12" s="48"/>
    </row>
    <row r="13" spans="1:31">
      <c r="B13" s="11">
        <f t="shared" si="0"/>
        <v>6</v>
      </c>
      <c r="C13" s="50" t="s">
        <v>91</v>
      </c>
      <c r="D13" s="50"/>
      <c r="E13" s="50"/>
      <c r="F13" s="50"/>
      <c r="G13" s="50"/>
      <c r="H13" s="48" t="s">
        <v>26</v>
      </c>
      <c r="I13" s="48"/>
      <c r="J13" s="48"/>
      <c r="K13" s="48"/>
      <c r="L13" s="48"/>
      <c r="M13" s="48"/>
      <c r="N13" s="48"/>
    </row>
    <row r="14" spans="1:31">
      <c r="B14" s="11">
        <f t="shared" si="0"/>
        <v>7</v>
      </c>
      <c r="C14" s="49" t="s">
        <v>60</v>
      </c>
      <c r="D14" s="49"/>
      <c r="E14" s="49"/>
      <c r="F14" s="49"/>
      <c r="G14" s="49"/>
      <c r="H14" s="48" t="s">
        <v>61</v>
      </c>
      <c r="I14" s="48"/>
      <c r="J14" s="48"/>
      <c r="K14" s="48"/>
      <c r="L14" s="48"/>
      <c r="M14" s="48"/>
      <c r="N14" s="48"/>
    </row>
    <row r="15" spans="1:31">
      <c r="B15" s="11">
        <f t="shared" si="0"/>
        <v>8</v>
      </c>
      <c r="C15" s="49" t="s">
        <v>16</v>
      </c>
      <c r="D15" s="49"/>
      <c r="E15" s="49"/>
      <c r="F15" s="49"/>
      <c r="G15" s="49"/>
      <c r="H15" s="48" t="s">
        <v>27</v>
      </c>
      <c r="I15" s="48"/>
      <c r="J15" s="48"/>
      <c r="K15" s="48"/>
      <c r="L15" s="48"/>
      <c r="M15" s="48"/>
      <c r="N15" s="48"/>
    </row>
    <row r="16" spans="1:31">
      <c r="B16" s="11">
        <f t="shared" si="0"/>
        <v>9</v>
      </c>
      <c r="C16" s="49" t="s">
        <v>17</v>
      </c>
      <c r="D16" s="49"/>
      <c r="E16" s="49"/>
      <c r="F16" s="49"/>
      <c r="G16" s="49"/>
      <c r="H16" s="48" t="s">
        <v>28</v>
      </c>
      <c r="I16" s="48"/>
      <c r="J16" s="48"/>
      <c r="K16" s="48"/>
      <c r="L16" s="48"/>
      <c r="M16" s="48"/>
      <c r="N16" s="48"/>
    </row>
  </sheetData>
  <mergeCells count="30">
    <mergeCell ref="H9:N9"/>
    <mergeCell ref="H10:N10"/>
    <mergeCell ref="H11:N11"/>
    <mergeCell ref="H12:N12"/>
    <mergeCell ref="A1:B2"/>
    <mergeCell ref="C1:P2"/>
    <mergeCell ref="C7:G7"/>
    <mergeCell ref="H7:N7"/>
    <mergeCell ref="C12:G12"/>
    <mergeCell ref="C8:G8"/>
    <mergeCell ref="H8:N8"/>
    <mergeCell ref="C10:G10"/>
    <mergeCell ref="C9:G9"/>
    <mergeCell ref="C11:G11"/>
    <mergeCell ref="H15:N15"/>
    <mergeCell ref="H16:N16"/>
    <mergeCell ref="C16:G16"/>
    <mergeCell ref="C15:G15"/>
    <mergeCell ref="C13:G13"/>
    <mergeCell ref="C14:G14"/>
    <mergeCell ref="H13:N13"/>
    <mergeCell ref="H14:N14"/>
    <mergeCell ref="T2:X2"/>
    <mergeCell ref="T1:X1"/>
    <mergeCell ref="Q2:S2"/>
    <mergeCell ref="Q1:S1"/>
    <mergeCell ref="AB2:AE2"/>
    <mergeCell ref="AB1:AE1"/>
    <mergeCell ref="Y2:AA2"/>
    <mergeCell ref="Y1:AA1"/>
  </mergeCells>
  <phoneticPr fontId="3"/>
  <hyperlinks>
    <hyperlink ref="C8" location="ユーザ!A1" display="ユーザ!A1"/>
    <hyperlink ref="C14" location="ユーザ参照権限!A1" display="ユーザ参照権限!A1"/>
    <hyperlink ref="D14" location="ユーザ参照権限!A1" display="ユーザ参照権限!A1"/>
    <hyperlink ref="E14" location="ユーザ参照権限!A1" display="ユーザ参照権限!A1"/>
    <hyperlink ref="F14" location="ユーザ参照権限!A1" display="ユーザ参照権限!A1"/>
    <hyperlink ref="G14" location="ユーザ参照権限!A1" display="ユーザ参照権限!A1"/>
    <hyperlink ref="C9" location="問題レベル!A1" display="問題レベル!A1"/>
    <hyperlink ref="D9" location="問題レベル!A1" display="問題レベル!A1"/>
    <hyperlink ref="E9" location="問題レベル!A1" display="問題レベル!A1"/>
    <hyperlink ref="F9" location="問題レベル!A1" display="問題レベル!A1"/>
    <hyperlink ref="G9" location="問題レベル!A1" display="問題レベル!A1"/>
    <hyperlink ref="C11" location="問題サブカテゴリ!A1" display="問題サブカテゴリ!A1"/>
    <hyperlink ref="D11" location="問題サブカテゴリ!A1" display="問題サブカテゴリ!A1"/>
    <hyperlink ref="E11" location="問題サブカテゴリ!A1" display="問題サブカテゴリ!A1"/>
    <hyperlink ref="F11" location="問題サブカテゴリ!A1" display="問題サブカテゴリ!A1"/>
    <hyperlink ref="G11" location="問題サブカテゴリ!A1" display="問題サブカテゴリ!A1"/>
    <hyperlink ref="C10" location="問題カテゴリ!A1" display="問題カテゴリ!A1"/>
    <hyperlink ref="D10" location="問題カテゴリ!A1" display="問題カテゴリ!A1"/>
    <hyperlink ref="E10" location="問題カテゴリ!A1" display="問題カテゴリ!A1"/>
    <hyperlink ref="F10" location="問題カテゴリ!A1" display="問題カテゴリ!A1"/>
    <hyperlink ref="G10" location="問題カテゴリ!A1" display="問題カテゴリ!A1"/>
    <hyperlink ref="C12" location="問題!A1" display="問題!A1"/>
    <hyperlink ref="D12" location="問題!A1" display="問題!A1"/>
    <hyperlink ref="E12" location="問題!A1" display="問題!A1"/>
    <hyperlink ref="F12" location="問題!A1" display="問題!A1"/>
    <hyperlink ref="G12" location="問題!A1" display="問題!A1"/>
    <hyperlink ref="C13" location="解答!A1" display="解答!A1"/>
    <hyperlink ref="D13" location="解答!A1" display="解答!A1"/>
    <hyperlink ref="E13" location="解答!A1" display="解答!A1"/>
    <hyperlink ref="F13" location="解答!A1" display="解答!A1"/>
    <hyperlink ref="G13" location="解答!A1" display="解答!A1"/>
    <hyperlink ref="C15" location="成績!A1" display="成績!A1"/>
    <hyperlink ref="D15" location="成績!A1" display="成績!A1"/>
    <hyperlink ref="E15" location="成績!A1" display="成績!A1"/>
    <hyperlink ref="F15" location="成績!A1" display="成績!A1"/>
    <hyperlink ref="G15" location="成績!A1" display="成績!A1"/>
    <hyperlink ref="C16" location="苦手問題!A1" display="苦手問題!A1"/>
    <hyperlink ref="D16" location="苦手問題!A1" display="苦手問題!A1"/>
    <hyperlink ref="E16" location="苦手問題!A1" display="苦手問題!A1"/>
    <hyperlink ref="F16" location="苦手問題!A1" display="苦手問題!A1"/>
    <hyperlink ref="G16" location="苦手問題!A1" display="苦手問題!A1"/>
    <hyperlink ref="C8:G8" location="ユーザマスタ!A1" display="ユーザマスタ"/>
    <hyperlink ref="C9:G9" location="問題レベルマスタ!A1" display="問題レベルマスタ"/>
    <hyperlink ref="C10:G10" location="問題カテゴリマスタ!A1" display="問題カテゴリマスタ"/>
    <hyperlink ref="C11:G11" location="問題サブカテゴリマスタ!A1" display="問題サブカテゴリマスタ"/>
    <hyperlink ref="C12:G12" location="問題マスタ!A1" display="問題マスタ"/>
    <hyperlink ref="C13:G13" location="解答マスタ!A1" display="解答マスタ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"/>
  <sheetViews>
    <sheetView showGridLines="0" view="pageBreakPreview" zoomScaleSheetLayoutView="100" workbookViewId="0">
      <selection sqref="A1:B2"/>
    </sheetView>
  </sheetViews>
  <sheetFormatPr defaultColWidth="3.875" defaultRowHeight="12"/>
  <cols>
    <col min="1" max="16384" width="3.875" style="6"/>
  </cols>
  <sheetData>
    <row r="1" spans="1:31" ht="18" customHeight="1">
      <c r="A1" s="51" t="s">
        <v>10</v>
      </c>
      <c r="B1" s="51"/>
      <c r="C1" s="52" t="str">
        <f>表紙!B3</f>
        <v>アビックトレーニング（仮）DB定義書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6" t="s">
        <v>12</v>
      </c>
      <c r="R1" s="46"/>
      <c r="S1" s="46"/>
      <c r="T1" s="45" t="s">
        <v>14</v>
      </c>
      <c r="U1" s="45"/>
      <c r="V1" s="45"/>
      <c r="W1" s="45"/>
      <c r="X1" s="45"/>
      <c r="Y1" s="46" t="s">
        <v>8</v>
      </c>
      <c r="Z1" s="46"/>
      <c r="AA1" s="46"/>
      <c r="AB1" s="47">
        <v>41973</v>
      </c>
      <c r="AC1" s="47"/>
      <c r="AD1" s="47"/>
      <c r="AE1" s="47"/>
    </row>
    <row r="2" spans="1:31" ht="18" customHeight="1">
      <c r="A2" s="5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6" t="s">
        <v>13</v>
      </c>
      <c r="R2" s="46"/>
      <c r="S2" s="46"/>
      <c r="T2" s="45"/>
      <c r="U2" s="45"/>
      <c r="V2" s="45"/>
      <c r="W2" s="45"/>
      <c r="X2" s="45"/>
      <c r="Y2" s="46" t="s">
        <v>9</v>
      </c>
      <c r="Z2" s="46"/>
      <c r="AA2" s="46"/>
      <c r="AB2" s="45"/>
      <c r="AC2" s="45"/>
      <c r="AD2" s="45"/>
      <c r="AE2" s="4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62" t="s">
        <v>29</v>
      </c>
      <c r="B4" s="62"/>
      <c r="C4" s="62"/>
      <c r="D4" s="62"/>
      <c r="E4" s="62"/>
      <c r="F4" s="54" t="str">
        <f>テーブル一覧!C8</f>
        <v>ユーザマスタ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6"/>
    </row>
    <row r="5" spans="1:31">
      <c r="A5" s="62" t="s">
        <v>30</v>
      </c>
      <c r="B5" s="62"/>
      <c r="C5" s="62"/>
      <c r="D5" s="62"/>
      <c r="E5" s="62"/>
      <c r="F5" s="54" t="str">
        <f>テーブル一覧!H8</f>
        <v>M_USER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6"/>
    </row>
    <row r="6" spans="1:31">
      <c r="A6" s="62" t="s">
        <v>31</v>
      </c>
      <c r="B6" s="62"/>
      <c r="C6" s="62"/>
      <c r="D6" s="62"/>
      <c r="E6" s="62"/>
      <c r="F6" s="63" t="s">
        <v>32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</row>
    <row r="8" spans="1:31">
      <c r="A8" s="21" t="s">
        <v>92</v>
      </c>
    </row>
    <row r="9" spans="1:31" s="14" customFormat="1">
      <c r="A9" s="12" t="s">
        <v>33</v>
      </c>
      <c r="B9" s="51" t="s">
        <v>34</v>
      </c>
      <c r="C9" s="51"/>
      <c r="D9" s="51"/>
      <c r="E9" s="51"/>
      <c r="F9" s="51" t="s">
        <v>35</v>
      </c>
      <c r="G9" s="51"/>
      <c r="H9" s="51"/>
      <c r="I9" s="51"/>
      <c r="J9" s="51" t="s">
        <v>36</v>
      </c>
      <c r="K9" s="51"/>
      <c r="L9" s="51"/>
      <c r="M9" s="51" t="s">
        <v>37</v>
      </c>
      <c r="N9" s="51"/>
      <c r="O9" s="57" t="s">
        <v>38</v>
      </c>
      <c r="P9" s="59"/>
      <c r="Q9" s="13" t="s">
        <v>39</v>
      </c>
      <c r="R9" s="13" t="s">
        <v>40</v>
      </c>
      <c r="S9" s="22" t="s">
        <v>98</v>
      </c>
      <c r="T9" s="57" t="s">
        <v>100</v>
      </c>
      <c r="U9" s="59"/>
      <c r="V9" s="57" t="s">
        <v>101</v>
      </c>
      <c r="W9" s="58"/>
      <c r="X9" s="58"/>
      <c r="Y9" s="58"/>
      <c r="Z9" s="58"/>
      <c r="AA9" s="58"/>
      <c r="AB9" s="58"/>
      <c r="AC9" s="58"/>
      <c r="AD9" s="58"/>
      <c r="AE9" s="59"/>
    </row>
    <row r="10" spans="1:31">
      <c r="A10" s="11">
        <f>ROW()-9</f>
        <v>1</v>
      </c>
      <c r="B10" s="64" t="s">
        <v>62</v>
      </c>
      <c r="C10" s="64"/>
      <c r="D10" s="64"/>
      <c r="E10" s="64"/>
      <c r="F10" s="64" t="s">
        <v>83</v>
      </c>
      <c r="G10" s="64"/>
      <c r="H10" s="64"/>
      <c r="I10" s="64"/>
      <c r="J10" s="63" t="s">
        <v>126</v>
      </c>
      <c r="K10" s="63"/>
      <c r="L10" s="63"/>
      <c r="M10" s="65">
        <v>16</v>
      </c>
      <c r="N10" s="65"/>
      <c r="O10" s="60"/>
      <c r="P10" s="61"/>
      <c r="Q10" s="15">
        <v>1</v>
      </c>
      <c r="R10" s="23" t="s">
        <v>45</v>
      </c>
      <c r="S10" s="23"/>
      <c r="T10" s="60"/>
      <c r="U10" s="61"/>
      <c r="V10" s="54"/>
      <c r="W10" s="55"/>
      <c r="X10" s="55"/>
      <c r="Y10" s="55"/>
      <c r="Z10" s="55"/>
      <c r="AA10" s="55"/>
      <c r="AB10" s="55"/>
      <c r="AC10" s="55"/>
      <c r="AD10" s="55"/>
      <c r="AE10" s="56"/>
    </row>
    <row r="11" spans="1:31">
      <c r="A11" s="11">
        <f t="shared" ref="A11:A18" si="0">ROW()-9</f>
        <v>2</v>
      </c>
      <c r="B11" s="64" t="s">
        <v>46</v>
      </c>
      <c r="C11" s="64"/>
      <c r="D11" s="64"/>
      <c r="E11" s="64"/>
      <c r="F11" s="64" t="s">
        <v>47</v>
      </c>
      <c r="G11" s="64"/>
      <c r="H11" s="64"/>
      <c r="I11" s="64"/>
      <c r="J11" s="63" t="s">
        <v>48</v>
      </c>
      <c r="K11" s="63"/>
      <c r="L11" s="63"/>
      <c r="M11" s="65">
        <v>255</v>
      </c>
      <c r="N11" s="65"/>
      <c r="O11" s="60"/>
      <c r="P11" s="61"/>
      <c r="Q11" s="15"/>
      <c r="R11" s="15" t="s">
        <v>45</v>
      </c>
      <c r="S11" s="23"/>
      <c r="T11" s="60"/>
      <c r="U11" s="61"/>
      <c r="V11" s="54"/>
      <c r="W11" s="55"/>
      <c r="X11" s="55"/>
      <c r="Y11" s="55"/>
      <c r="Z11" s="55"/>
      <c r="AA11" s="55"/>
      <c r="AB11" s="55"/>
      <c r="AC11" s="55"/>
      <c r="AD11" s="55"/>
      <c r="AE11" s="56"/>
    </row>
    <row r="12" spans="1:31">
      <c r="A12" s="11">
        <f t="shared" si="0"/>
        <v>3</v>
      </c>
      <c r="B12" s="64" t="s">
        <v>94</v>
      </c>
      <c r="C12" s="64"/>
      <c r="D12" s="64"/>
      <c r="E12" s="64"/>
      <c r="F12" s="64" t="s">
        <v>96</v>
      </c>
      <c r="G12" s="64"/>
      <c r="H12" s="64"/>
      <c r="I12" s="64"/>
      <c r="J12" s="63" t="s">
        <v>44</v>
      </c>
      <c r="K12" s="63"/>
      <c r="L12" s="63"/>
      <c r="M12" s="65">
        <v>50</v>
      </c>
      <c r="N12" s="65"/>
      <c r="O12" s="60"/>
      <c r="P12" s="61"/>
      <c r="Q12" s="23"/>
      <c r="R12" s="23" t="s">
        <v>45</v>
      </c>
      <c r="S12" s="23"/>
      <c r="T12" s="60"/>
      <c r="U12" s="61"/>
      <c r="V12" s="54"/>
      <c r="W12" s="55"/>
      <c r="X12" s="55"/>
      <c r="Y12" s="55"/>
      <c r="Z12" s="55"/>
      <c r="AA12" s="55"/>
      <c r="AB12" s="55"/>
      <c r="AC12" s="55"/>
      <c r="AD12" s="55"/>
      <c r="AE12" s="56"/>
    </row>
    <row r="13" spans="1:31">
      <c r="A13" s="11">
        <f t="shared" si="0"/>
        <v>4</v>
      </c>
      <c r="B13" s="64" t="s">
        <v>95</v>
      </c>
      <c r="C13" s="64"/>
      <c r="D13" s="64"/>
      <c r="E13" s="64"/>
      <c r="F13" s="64" t="s">
        <v>97</v>
      </c>
      <c r="G13" s="64"/>
      <c r="H13" s="64"/>
      <c r="I13" s="64"/>
      <c r="J13" s="63" t="s">
        <v>49</v>
      </c>
      <c r="K13" s="63"/>
      <c r="L13" s="63"/>
      <c r="M13" s="65">
        <v>50</v>
      </c>
      <c r="N13" s="65"/>
      <c r="O13" s="60"/>
      <c r="P13" s="61"/>
      <c r="Q13" s="15"/>
      <c r="R13" s="15" t="s">
        <v>45</v>
      </c>
      <c r="S13" s="23"/>
      <c r="T13" s="60"/>
      <c r="U13" s="61"/>
      <c r="V13" s="54"/>
      <c r="W13" s="55"/>
      <c r="X13" s="55"/>
      <c r="Y13" s="55"/>
      <c r="Z13" s="55"/>
      <c r="AA13" s="55"/>
      <c r="AB13" s="55"/>
      <c r="AC13" s="55"/>
      <c r="AD13" s="55"/>
      <c r="AE13" s="56"/>
    </row>
    <row r="14" spans="1:31">
      <c r="A14" s="11">
        <f t="shared" si="0"/>
        <v>5</v>
      </c>
      <c r="B14" s="64" t="s">
        <v>43</v>
      </c>
      <c r="C14" s="64"/>
      <c r="D14" s="64"/>
      <c r="E14" s="64"/>
      <c r="F14" s="64" t="s">
        <v>127</v>
      </c>
      <c r="G14" s="64"/>
      <c r="H14" s="64"/>
      <c r="I14" s="64"/>
      <c r="J14" s="63" t="s">
        <v>48</v>
      </c>
      <c r="K14" s="63"/>
      <c r="L14" s="63"/>
      <c r="M14" s="65">
        <v>16</v>
      </c>
      <c r="N14" s="65"/>
      <c r="O14" s="60"/>
      <c r="P14" s="61"/>
      <c r="Q14" s="15"/>
      <c r="R14" s="15" t="s">
        <v>45</v>
      </c>
      <c r="S14" s="23"/>
      <c r="T14" s="60"/>
      <c r="U14" s="61"/>
      <c r="V14" s="54"/>
      <c r="W14" s="55"/>
      <c r="X14" s="55"/>
      <c r="Y14" s="55"/>
      <c r="Z14" s="55"/>
      <c r="AA14" s="55"/>
      <c r="AB14" s="55"/>
      <c r="AC14" s="55"/>
      <c r="AD14" s="55"/>
      <c r="AE14" s="56"/>
    </row>
    <row r="15" spans="1:31">
      <c r="A15" s="11">
        <f t="shared" si="0"/>
        <v>6</v>
      </c>
      <c r="B15" s="64" t="s">
        <v>42</v>
      </c>
      <c r="C15" s="64"/>
      <c r="D15" s="64"/>
      <c r="E15" s="64"/>
      <c r="F15" s="64" t="s">
        <v>128</v>
      </c>
      <c r="G15" s="64"/>
      <c r="H15" s="64"/>
      <c r="I15" s="64"/>
      <c r="J15" s="63" t="s">
        <v>52</v>
      </c>
      <c r="K15" s="63"/>
      <c r="L15" s="63"/>
      <c r="M15" s="65"/>
      <c r="N15" s="65"/>
      <c r="O15" s="60"/>
      <c r="P15" s="61"/>
      <c r="Q15" s="15"/>
      <c r="R15" s="15" t="s">
        <v>45</v>
      </c>
      <c r="S15" s="23"/>
      <c r="T15" s="60"/>
      <c r="U15" s="61"/>
      <c r="V15" s="54"/>
      <c r="W15" s="55"/>
      <c r="X15" s="55"/>
      <c r="Y15" s="55"/>
      <c r="Z15" s="55"/>
      <c r="AA15" s="55"/>
      <c r="AB15" s="55"/>
      <c r="AC15" s="55"/>
      <c r="AD15" s="55"/>
      <c r="AE15" s="56"/>
    </row>
    <row r="16" spans="1:31">
      <c r="A16" s="11">
        <f t="shared" si="0"/>
        <v>7</v>
      </c>
      <c r="B16" s="64" t="s">
        <v>53</v>
      </c>
      <c r="C16" s="64"/>
      <c r="D16" s="64"/>
      <c r="E16" s="64"/>
      <c r="F16" s="64" t="s">
        <v>54</v>
      </c>
      <c r="G16" s="64"/>
      <c r="H16" s="64"/>
      <c r="I16" s="64"/>
      <c r="J16" s="63" t="s">
        <v>55</v>
      </c>
      <c r="K16" s="63"/>
      <c r="L16" s="63"/>
      <c r="M16" s="65">
        <v>16</v>
      </c>
      <c r="N16" s="65"/>
      <c r="O16" s="60"/>
      <c r="P16" s="61"/>
      <c r="Q16" s="15"/>
      <c r="R16" s="15" t="s">
        <v>45</v>
      </c>
      <c r="S16" s="23"/>
      <c r="T16" s="60"/>
      <c r="U16" s="61"/>
      <c r="V16" s="54"/>
      <c r="W16" s="55"/>
      <c r="X16" s="55"/>
      <c r="Y16" s="55"/>
      <c r="Z16" s="55"/>
      <c r="AA16" s="55"/>
      <c r="AB16" s="55"/>
      <c r="AC16" s="55"/>
      <c r="AD16" s="55"/>
      <c r="AE16" s="56"/>
    </row>
    <row r="17" spans="1:31">
      <c r="A17" s="11">
        <f t="shared" si="0"/>
        <v>8</v>
      </c>
      <c r="B17" s="64" t="s">
        <v>56</v>
      </c>
      <c r="C17" s="64"/>
      <c r="D17" s="64"/>
      <c r="E17" s="64"/>
      <c r="F17" s="64" t="s">
        <v>57</v>
      </c>
      <c r="G17" s="64"/>
      <c r="H17" s="64"/>
      <c r="I17" s="64"/>
      <c r="J17" s="63" t="s">
        <v>52</v>
      </c>
      <c r="K17" s="63"/>
      <c r="L17" s="63"/>
      <c r="M17" s="65"/>
      <c r="N17" s="65"/>
      <c r="O17" s="60"/>
      <c r="P17" s="61"/>
      <c r="Q17" s="15"/>
      <c r="R17" s="15" t="s">
        <v>45</v>
      </c>
      <c r="S17" s="23"/>
      <c r="T17" s="60"/>
      <c r="U17" s="61"/>
      <c r="V17" s="54"/>
      <c r="W17" s="55"/>
      <c r="X17" s="55"/>
      <c r="Y17" s="55"/>
      <c r="Z17" s="55"/>
      <c r="AA17" s="55"/>
      <c r="AB17" s="55"/>
      <c r="AC17" s="55"/>
      <c r="AD17" s="55"/>
      <c r="AE17" s="56"/>
    </row>
    <row r="18" spans="1:31">
      <c r="A18" s="11">
        <f t="shared" si="0"/>
        <v>9</v>
      </c>
      <c r="B18" s="64" t="s">
        <v>58</v>
      </c>
      <c r="C18" s="64"/>
      <c r="D18" s="64"/>
      <c r="E18" s="64"/>
      <c r="F18" s="64" t="s">
        <v>129</v>
      </c>
      <c r="G18" s="64"/>
      <c r="H18" s="64"/>
      <c r="I18" s="64"/>
      <c r="J18" s="63" t="s">
        <v>41</v>
      </c>
      <c r="K18" s="63"/>
      <c r="L18" s="63"/>
      <c r="M18" s="65">
        <v>1</v>
      </c>
      <c r="N18" s="65"/>
      <c r="O18" s="60">
        <v>0</v>
      </c>
      <c r="P18" s="61"/>
      <c r="Q18" s="15"/>
      <c r="R18" s="15" t="s">
        <v>45</v>
      </c>
      <c r="S18" s="23"/>
      <c r="T18" s="60" t="s">
        <v>99</v>
      </c>
      <c r="U18" s="61"/>
      <c r="V18" s="54"/>
      <c r="W18" s="55"/>
      <c r="X18" s="55"/>
      <c r="Y18" s="55"/>
      <c r="Z18" s="55"/>
      <c r="AA18" s="55"/>
      <c r="AB18" s="55"/>
      <c r="AC18" s="55"/>
      <c r="AD18" s="55"/>
      <c r="AE18" s="56"/>
    </row>
  </sheetData>
  <mergeCells count="86">
    <mergeCell ref="B18:E18"/>
    <mergeCell ref="F18:I18"/>
    <mergeCell ref="J18:L18"/>
    <mergeCell ref="M18:N18"/>
    <mergeCell ref="B16:E16"/>
    <mergeCell ref="F16:I16"/>
    <mergeCell ref="J16:L16"/>
    <mergeCell ref="M16:N16"/>
    <mergeCell ref="B17:E17"/>
    <mergeCell ref="F17:I17"/>
    <mergeCell ref="J17:L17"/>
    <mergeCell ref="M17:N17"/>
    <mergeCell ref="B14:E14"/>
    <mergeCell ref="F14:I14"/>
    <mergeCell ref="J14:L14"/>
    <mergeCell ref="M14:N14"/>
    <mergeCell ref="B15:E15"/>
    <mergeCell ref="F15:I15"/>
    <mergeCell ref="J15:L15"/>
    <mergeCell ref="M15:N15"/>
    <mergeCell ref="B11:E11"/>
    <mergeCell ref="F11:I11"/>
    <mergeCell ref="J11:L11"/>
    <mergeCell ref="M11:N11"/>
    <mergeCell ref="B13:E13"/>
    <mergeCell ref="F13:I13"/>
    <mergeCell ref="J13:L13"/>
    <mergeCell ref="M13:N13"/>
    <mergeCell ref="B12:E12"/>
    <mergeCell ref="F12:I12"/>
    <mergeCell ref="J12:L12"/>
    <mergeCell ref="M12:N12"/>
    <mergeCell ref="J9:L9"/>
    <mergeCell ref="F9:I9"/>
    <mergeCell ref="B9:E9"/>
    <mergeCell ref="M9:N9"/>
    <mergeCell ref="J10:L10"/>
    <mergeCell ref="F10:I10"/>
    <mergeCell ref="B10:E10"/>
    <mergeCell ref="M10:N10"/>
    <mergeCell ref="A6:E6"/>
    <mergeCell ref="F4:AE4"/>
    <mergeCell ref="F6:AE6"/>
    <mergeCell ref="F5:AE5"/>
    <mergeCell ref="A4:E4"/>
    <mergeCell ref="A5:E5"/>
    <mergeCell ref="A1:B2"/>
    <mergeCell ref="C1:P2"/>
    <mergeCell ref="Q1:S1"/>
    <mergeCell ref="T1:X1"/>
    <mergeCell ref="Y1:AA1"/>
    <mergeCell ref="AB1:AE1"/>
    <mergeCell ref="Q2:S2"/>
    <mergeCell ref="T2:X2"/>
    <mergeCell ref="Y2:AA2"/>
    <mergeCell ref="AB2:AE2"/>
    <mergeCell ref="O18:P18"/>
    <mergeCell ref="O17:P17"/>
    <mergeCell ref="O16:P16"/>
    <mergeCell ref="O15:P15"/>
    <mergeCell ref="O14:P14"/>
    <mergeCell ref="O13:P13"/>
    <mergeCell ref="O11:P11"/>
    <mergeCell ref="O10:P10"/>
    <mergeCell ref="O9:P9"/>
    <mergeCell ref="O12:P12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V9:AE9"/>
    <mergeCell ref="V10:AE10"/>
    <mergeCell ref="V11:AE11"/>
    <mergeCell ref="V12:AE12"/>
    <mergeCell ref="V13:AE13"/>
    <mergeCell ref="V14:AE14"/>
    <mergeCell ref="V15:AE15"/>
    <mergeCell ref="V16:AE16"/>
    <mergeCell ref="V17:AE17"/>
    <mergeCell ref="V18:AE18"/>
  </mergeCells>
  <phoneticPr fontId="3"/>
  <hyperlinks>
    <hyperlink ref="A8" location="テーブル一覧!A1" display="一覧に戻る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"/>
  <sheetViews>
    <sheetView showGridLines="0" view="pageBreakPreview" zoomScaleSheetLayoutView="100" workbookViewId="0">
      <selection activeCell="J12" sqref="J12:L12"/>
    </sheetView>
  </sheetViews>
  <sheetFormatPr defaultColWidth="3.875" defaultRowHeight="12"/>
  <cols>
    <col min="1" max="16384" width="3.875" style="6"/>
  </cols>
  <sheetData>
    <row r="1" spans="1:31" ht="18" customHeight="1">
      <c r="A1" s="51" t="s">
        <v>10</v>
      </c>
      <c r="B1" s="51"/>
      <c r="C1" s="52" t="str">
        <f>表紙!B3</f>
        <v>アビックトレーニング（仮）DB定義書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6" t="s">
        <v>12</v>
      </c>
      <c r="R1" s="46"/>
      <c r="S1" s="46"/>
      <c r="T1" s="45" t="s">
        <v>14</v>
      </c>
      <c r="U1" s="45"/>
      <c r="V1" s="45"/>
      <c r="W1" s="45"/>
      <c r="X1" s="45"/>
      <c r="Y1" s="46" t="s">
        <v>8</v>
      </c>
      <c r="Z1" s="46"/>
      <c r="AA1" s="46"/>
      <c r="AB1" s="47">
        <v>41973</v>
      </c>
      <c r="AC1" s="47"/>
      <c r="AD1" s="47"/>
      <c r="AE1" s="47"/>
    </row>
    <row r="2" spans="1:31" ht="18" customHeight="1">
      <c r="A2" s="5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6" t="s">
        <v>13</v>
      </c>
      <c r="R2" s="46"/>
      <c r="S2" s="46"/>
      <c r="T2" s="45"/>
      <c r="U2" s="45"/>
      <c r="V2" s="45"/>
      <c r="W2" s="45"/>
      <c r="X2" s="45"/>
      <c r="Y2" s="46" t="s">
        <v>9</v>
      </c>
      <c r="Z2" s="46"/>
      <c r="AA2" s="46"/>
      <c r="AB2" s="45"/>
      <c r="AC2" s="45"/>
      <c r="AD2" s="45"/>
      <c r="AE2" s="4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62" t="s">
        <v>29</v>
      </c>
      <c r="B4" s="62"/>
      <c r="C4" s="62"/>
      <c r="D4" s="62"/>
      <c r="E4" s="62"/>
      <c r="F4" s="54" t="str">
        <f>テーブル一覧!C9</f>
        <v>問題レベルマスタ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6"/>
    </row>
    <row r="5" spans="1:31">
      <c r="A5" s="62" t="s">
        <v>30</v>
      </c>
      <c r="B5" s="62"/>
      <c r="C5" s="62"/>
      <c r="D5" s="62"/>
      <c r="E5" s="62"/>
      <c r="F5" s="54" t="str">
        <f>テーブル一覧!H9</f>
        <v>M_QUESTION_LEVEL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6"/>
    </row>
    <row r="6" spans="1:31">
      <c r="A6" s="62" t="s">
        <v>21</v>
      </c>
      <c r="B6" s="62"/>
      <c r="C6" s="62"/>
      <c r="D6" s="62"/>
      <c r="E6" s="62"/>
      <c r="F6" s="63" t="s">
        <v>77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</row>
    <row r="8" spans="1:31">
      <c r="A8" s="21" t="s">
        <v>92</v>
      </c>
    </row>
    <row r="9" spans="1:31">
      <c r="A9" s="24" t="s">
        <v>19</v>
      </c>
      <c r="B9" s="51" t="s">
        <v>34</v>
      </c>
      <c r="C9" s="51"/>
      <c r="D9" s="51"/>
      <c r="E9" s="51"/>
      <c r="F9" s="51" t="s">
        <v>35</v>
      </c>
      <c r="G9" s="51"/>
      <c r="H9" s="51"/>
      <c r="I9" s="51"/>
      <c r="J9" s="51" t="s">
        <v>36</v>
      </c>
      <c r="K9" s="51"/>
      <c r="L9" s="51"/>
      <c r="M9" s="51" t="s">
        <v>37</v>
      </c>
      <c r="N9" s="51"/>
      <c r="O9" s="57" t="s">
        <v>20</v>
      </c>
      <c r="P9" s="59"/>
      <c r="Q9" s="24" t="s">
        <v>22</v>
      </c>
      <c r="R9" s="24" t="s">
        <v>40</v>
      </c>
      <c r="S9" s="24" t="s">
        <v>98</v>
      </c>
      <c r="T9" s="57" t="s">
        <v>100</v>
      </c>
      <c r="U9" s="59"/>
      <c r="V9" s="57" t="s">
        <v>101</v>
      </c>
      <c r="W9" s="58"/>
      <c r="X9" s="58"/>
      <c r="Y9" s="58"/>
      <c r="Z9" s="58"/>
      <c r="AA9" s="58"/>
      <c r="AB9" s="58"/>
      <c r="AC9" s="58"/>
      <c r="AD9" s="58"/>
      <c r="AE9" s="59"/>
    </row>
    <row r="10" spans="1:31">
      <c r="A10" s="11">
        <f>ROW()-9</f>
        <v>1</v>
      </c>
      <c r="B10" s="64" t="s">
        <v>70</v>
      </c>
      <c r="C10" s="64"/>
      <c r="D10" s="64"/>
      <c r="E10" s="64"/>
      <c r="F10" s="64" t="s">
        <v>140</v>
      </c>
      <c r="G10" s="64"/>
      <c r="H10" s="64"/>
      <c r="I10" s="64"/>
      <c r="J10" s="63" t="s">
        <v>41</v>
      </c>
      <c r="K10" s="63"/>
      <c r="L10" s="63"/>
      <c r="M10" s="65">
        <v>2</v>
      </c>
      <c r="N10" s="65"/>
      <c r="O10" s="60"/>
      <c r="P10" s="61"/>
      <c r="Q10" s="25">
        <v>1</v>
      </c>
      <c r="R10" s="26" t="s">
        <v>45</v>
      </c>
      <c r="S10" s="25"/>
      <c r="T10" s="60"/>
      <c r="U10" s="61"/>
      <c r="V10" s="54"/>
      <c r="W10" s="55"/>
      <c r="X10" s="55"/>
      <c r="Y10" s="55"/>
      <c r="Z10" s="55"/>
      <c r="AA10" s="55"/>
      <c r="AB10" s="55"/>
      <c r="AC10" s="55"/>
      <c r="AD10" s="55"/>
      <c r="AE10" s="56"/>
    </row>
    <row r="11" spans="1:31">
      <c r="A11" s="11">
        <f t="shared" ref="A11:A17" si="0">ROW()-9</f>
        <v>2</v>
      </c>
      <c r="B11" s="64" t="s">
        <v>102</v>
      </c>
      <c r="C11" s="64"/>
      <c r="D11" s="64"/>
      <c r="E11" s="64"/>
      <c r="F11" s="64" t="s">
        <v>141</v>
      </c>
      <c r="G11" s="64"/>
      <c r="H11" s="64"/>
      <c r="I11" s="64"/>
      <c r="J11" s="63" t="s">
        <v>44</v>
      </c>
      <c r="K11" s="63"/>
      <c r="L11" s="63"/>
      <c r="M11" s="65">
        <v>50</v>
      </c>
      <c r="N11" s="65"/>
      <c r="O11" s="60"/>
      <c r="P11" s="61"/>
      <c r="Q11" s="25"/>
      <c r="R11" s="25" t="s">
        <v>45</v>
      </c>
      <c r="S11" s="25"/>
      <c r="T11" s="60"/>
      <c r="U11" s="61"/>
      <c r="V11" s="54"/>
      <c r="W11" s="55"/>
      <c r="X11" s="55"/>
      <c r="Y11" s="55"/>
      <c r="Z11" s="55"/>
      <c r="AA11" s="55"/>
      <c r="AB11" s="55"/>
      <c r="AC11" s="55"/>
      <c r="AD11" s="55"/>
      <c r="AE11" s="56"/>
    </row>
    <row r="12" spans="1:31">
      <c r="A12" s="11">
        <f t="shared" si="0"/>
        <v>3</v>
      </c>
      <c r="B12" s="64" t="s">
        <v>63</v>
      </c>
      <c r="C12" s="64"/>
      <c r="D12" s="64"/>
      <c r="E12" s="64"/>
      <c r="F12" s="64" t="s">
        <v>79</v>
      </c>
      <c r="G12" s="64"/>
      <c r="H12" s="64"/>
      <c r="I12" s="64"/>
      <c r="J12" s="69" t="s">
        <v>146</v>
      </c>
      <c r="K12" s="69"/>
      <c r="L12" s="69"/>
      <c r="M12" s="65"/>
      <c r="N12" s="65"/>
      <c r="O12" s="65"/>
      <c r="P12" s="65"/>
      <c r="Q12" s="28"/>
      <c r="R12" s="28" t="s">
        <v>45</v>
      </c>
      <c r="S12" s="28"/>
      <c r="T12" s="60"/>
      <c r="U12" s="61"/>
      <c r="V12" s="54"/>
      <c r="W12" s="55"/>
      <c r="X12" s="55"/>
      <c r="Y12" s="55"/>
      <c r="Z12" s="55"/>
      <c r="AA12" s="55"/>
      <c r="AB12" s="55"/>
      <c r="AC12" s="55"/>
      <c r="AD12" s="55"/>
      <c r="AE12" s="56"/>
    </row>
    <row r="13" spans="1:31">
      <c r="A13" s="11">
        <f t="shared" si="0"/>
        <v>4</v>
      </c>
      <c r="B13" s="64" t="s">
        <v>43</v>
      </c>
      <c r="C13" s="64"/>
      <c r="D13" s="64"/>
      <c r="E13" s="64"/>
      <c r="F13" s="64" t="s">
        <v>144</v>
      </c>
      <c r="G13" s="64"/>
      <c r="H13" s="64"/>
      <c r="I13" s="64"/>
      <c r="J13" s="63" t="s">
        <v>44</v>
      </c>
      <c r="K13" s="63"/>
      <c r="L13" s="63"/>
      <c r="M13" s="65">
        <v>16</v>
      </c>
      <c r="N13" s="65"/>
      <c r="O13" s="60"/>
      <c r="P13" s="61"/>
      <c r="Q13" s="25"/>
      <c r="R13" s="25" t="s">
        <v>45</v>
      </c>
      <c r="S13" s="25"/>
      <c r="T13" s="60"/>
      <c r="U13" s="61"/>
      <c r="V13" s="54"/>
      <c r="W13" s="55"/>
      <c r="X13" s="55"/>
      <c r="Y13" s="55"/>
      <c r="Z13" s="55"/>
      <c r="AA13" s="55"/>
      <c r="AB13" s="55"/>
      <c r="AC13" s="55"/>
      <c r="AD13" s="55"/>
      <c r="AE13" s="56"/>
    </row>
    <row r="14" spans="1:31">
      <c r="A14" s="11">
        <f t="shared" si="0"/>
        <v>5</v>
      </c>
      <c r="B14" s="64" t="s">
        <v>42</v>
      </c>
      <c r="C14" s="64"/>
      <c r="D14" s="64"/>
      <c r="E14" s="64"/>
      <c r="F14" s="64" t="s">
        <v>51</v>
      </c>
      <c r="G14" s="64"/>
      <c r="H14" s="64"/>
      <c r="I14" s="64"/>
      <c r="J14" s="63" t="s">
        <v>52</v>
      </c>
      <c r="K14" s="63"/>
      <c r="L14" s="63"/>
      <c r="M14" s="65"/>
      <c r="N14" s="65"/>
      <c r="O14" s="60"/>
      <c r="P14" s="61"/>
      <c r="Q14" s="25"/>
      <c r="R14" s="25" t="s">
        <v>45</v>
      </c>
      <c r="S14" s="25"/>
      <c r="T14" s="60"/>
      <c r="U14" s="61"/>
      <c r="V14" s="54"/>
      <c r="W14" s="55"/>
      <c r="X14" s="55"/>
      <c r="Y14" s="55"/>
      <c r="Z14" s="55"/>
      <c r="AA14" s="55"/>
      <c r="AB14" s="55"/>
      <c r="AC14" s="55"/>
      <c r="AD14" s="55"/>
      <c r="AE14" s="56"/>
    </row>
    <row r="15" spans="1:31">
      <c r="A15" s="11">
        <f t="shared" si="0"/>
        <v>6</v>
      </c>
      <c r="B15" s="64" t="s">
        <v>53</v>
      </c>
      <c r="C15" s="64"/>
      <c r="D15" s="64"/>
      <c r="E15" s="64"/>
      <c r="F15" s="64" t="s">
        <v>54</v>
      </c>
      <c r="G15" s="64"/>
      <c r="H15" s="64"/>
      <c r="I15" s="64"/>
      <c r="J15" s="63" t="s">
        <v>44</v>
      </c>
      <c r="K15" s="63"/>
      <c r="L15" s="63"/>
      <c r="M15" s="65">
        <v>16</v>
      </c>
      <c r="N15" s="65"/>
      <c r="O15" s="60"/>
      <c r="P15" s="61"/>
      <c r="Q15" s="25"/>
      <c r="R15" s="25" t="s">
        <v>45</v>
      </c>
      <c r="S15" s="25"/>
      <c r="T15" s="60"/>
      <c r="U15" s="61"/>
      <c r="V15" s="54"/>
      <c r="W15" s="55"/>
      <c r="X15" s="55"/>
      <c r="Y15" s="55"/>
      <c r="Z15" s="55"/>
      <c r="AA15" s="55"/>
      <c r="AB15" s="55"/>
      <c r="AC15" s="55"/>
      <c r="AD15" s="55"/>
      <c r="AE15" s="56"/>
    </row>
    <row r="16" spans="1:31">
      <c r="A16" s="11">
        <f t="shared" si="0"/>
        <v>7</v>
      </c>
      <c r="B16" s="64" t="s">
        <v>56</v>
      </c>
      <c r="C16" s="64"/>
      <c r="D16" s="64"/>
      <c r="E16" s="64"/>
      <c r="F16" s="64" t="s">
        <v>57</v>
      </c>
      <c r="G16" s="64"/>
      <c r="H16" s="64"/>
      <c r="I16" s="64"/>
      <c r="J16" s="63" t="s">
        <v>52</v>
      </c>
      <c r="K16" s="63"/>
      <c r="L16" s="63"/>
      <c r="M16" s="65"/>
      <c r="N16" s="65"/>
      <c r="O16" s="60"/>
      <c r="P16" s="61"/>
      <c r="Q16" s="25"/>
      <c r="R16" s="25" t="s">
        <v>45</v>
      </c>
      <c r="S16" s="25"/>
      <c r="T16" s="60"/>
      <c r="U16" s="61"/>
      <c r="V16" s="54"/>
      <c r="W16" s="55"/>
      <c r="X16" s="55"/>
      <c r="Y16" s="55"/>
      <c r="Z16" s="55"/>
      <c r="AA16" s="55"/>
      <c r="AB16" s="55"/>
      <c r="AC16" s="55"/>
      <c r="AD16" s="55"/>
      <c r="AE16" s="56"/>
    </row>
    <row r="17" spans="1:31">
      <c r="A17" s="11">
        <f t="shared" si="0"/>
        <v>8</v>
      </c>
      <c r="B17" s="64" t="s">
        <v>58</v>
      </c>
      <c r="C17" s="64"/>
      <c r="D17" s="64"/>
      <c r="E17" s="64"/>
      <c r="F17" s="64" t="s">
        <v>59</v>
      </c>
      <c r="G17" s="64"/>
      <c r="H17" s="64"/>
      <c r="I17" s="64"/>
      <c r="J17" s="63" t="s">
        <v>41</v>
      </c>
      <c r="K17" s="63"/>
      <c r="L17" s="63"/>
      <c r="M17" s="65">
        <v>1</v>
      </c>
      <c r="N17" s="65"/>
      <c r="O17" s="60">
        <v>0</v>
      </c>
      <c r="P17" s="61"/>
      <c r="Q17" s="25"/>
      <c r="R17" s="25" t="s">
        <v>45</v>
      </c>
      <c r="S17" s="25"/>
      <c r="T17" s="60" t="s">
        <v>99</v>
      </c>
      <c r="U17" s="61"/>
      <c r="V17" s="54"/>
      <c r="W17" s="55"/>
      <c r="X17" s="55"/>
      <c r="Y17" s="55"/>
      <c r="Z17" s="55"/>
      <c r="AA17" s="55"/>
      <c r="AB17" s="55"/>
      <c r="AC17" s="55"/>
      <c r="AD17" s="55"/>
      <c r="AE17" s="56"/>
    </row>
  </sheetData>
  <mergeCells count="79">
    <mergeCell ref="J12:L12"/>
    <mergeCell ref="M12:N12"/>
    <mergeCell ref="O12:P12"/>
    <mergeCell ref="T12:U12"/>
    <mergeCell ref="V12:AE12"/>
    <mergeCell ref="A4:E4"/>
    <mergeCell ref="F4:AE4"/>
    <mergeCell ref="A5:E5"/>
    <mergeCell ref="F5:AE5"/>
    <mergeCell ref="A6:E6"/>
    <mergeCell ref="F6:AE6"/>
    <mergeCell ref="AB1:AE1"/>
    <mergeCell ref="Q2:S2"/>
    <mergeCell ref="T2:X2"/>
    <mergeCell ref="Y2:AA2"/>
    <mergeCell ref="AB2:AE2"/>
    <mergeCell ref="A1:B2"/>
    <mergeCell ref="C1:P2"/>
    <mergeCell ref="Q1:S1"/>
    <mergeCell ref="T1:X1"/>
    <mergeCell ref="Y1:AA1"/>
    <mergeCell ref="T9:U9"/>
    <mergeCell ref="V9:AE9"/>
    <mergeCell ref="B10:E10"/>
    <mergeCell ref="F10:I10"/>
    <mergeCell ref="J10:L10"/>
    <mergeCell ref="M10:N10"/>
    <mergeCell ref="O10:P10"/>
    <mergeCell ref="T10:U10"/>
    <mergeCell ref="V10:AE10"/>
    <mergeCell ref="B9:E9"/>
    <mergeCell ref="F9:I9"/>
    <mergeCell ref="J9:L9"/>
    <mergeCell ref="M9:N9"/>
    <mergeCell ref="O9:P9"/>
    <mergeCell ref="T11:U11"/>
    <mergeCell ref="V11:AE11"/>
    <mergeCell ref="B13:E13"/>
    <mergeCell ref="F13:I13"/>
    <mergeCell ref="J13:L13"/>
    <mergeCell ref="M13:N13"/>
    <mergeCell ref="O13:P13"/>
    <mergeCell ref="T13:U13"/>
    <mergeCell ref="V13:AE13"/>
    <mergeCell ref="B11:E11"/>
    <mergeCell ref="F11:I11"/>
    <mergeCell ref="J11:L11"/>
    <mergeCell ref="M11:N11"/>
    <mergeCell ref="O11:P11"/>
    <mergeCell ref="B12:E12"/>
    <mergeCell ref="F12:I12"/>
    <mergeCell ref="T14:U14"/>
    <mergeCell ref="V14:AE14"/>
    <mergeCell ref="B15:E15"/>
    <mergeCell ref="F15:I15"/>
    <mergeCell ref="J15:L15"/>
    <mergeCell ref="M15:N15"/>
    <mergeCell ref="O15:P15"/>
    <mergeCell ref="T15:U15"/>
    <mergeCell ref="V15:AE15"/>
    <mergeCell ref="B14:E14"/>
    <mergeCell ref="F14:I14"/>
    <mergeCell ref="J14:L14"/>
    <mergeCell ref="M14:N14"/>
    <mergeCell ref="O14:P14"/>
    <mergeCell ref="T16:U16"/>
    <mergeCell ref="V16:AE16"/>
    <mergeCell ref="B17:E17"/>
    <mergeCell ref="F17:I17"/>
    <mergeCell ref="J17:L17"/>
    <mergeCell ref="M17:N17"/>
    <mergeCell ref="O17:P17"/>
    <mergeCell ref="T17:U17"/>
    <mergeCell ref="V17:AE17"/>
    <mergeCell ref="B16:E16"/>
    <mergeCell ref="F16:I16"/>
    <mergeCell ref="J16:L16"/>
    <mergeCell ref="M16:N16"/>
    <mergeCell ref="O16:P16"/>
  </mergeCells>
  <phoneticPr fontId="3"/>
  <hyperlinks>
    <hyperlink ref="A8" location="テーブル一覧!A1" display="一覧に戻る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"/>
  <sheetViews>
    <sheetView showGridLines="0" view="pageBreakPreview" zoomScaleSheetLayoutView="100" workbookViewId="0">
      <selection activeCell="J13" sqref="J13:L13"/>
    </sheetView>
  </sheetViews>
  <sheetFormatPr defaultColWidth="3.875" defaultRowHeight="12"/>
  <cols>
    <col min="1" max="16384" width="3.875" style="6"/>
  </cols>
  <sheetData>
    <row r="1" spans="1:31" ht="18" customHeight="1">
      <c r="A1" s="51" t="s">
        <v>10</v>
      </c>
      <c r="B1" s="51"/>
      <c r="C1" s="52" t="str">
        <f>表紙!B3</f>
        <v>アビックトレーニング（仮）DB定義書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6" t="s">
        <v>12</v>
      </c>
      <c r="R1" s="46"/>
      <c r="S1" s="46"/>
      <c r="T1" s="45" t="s">
        <v>14</v>
      </c>
      <c r="U1" s="45"/>
      <c r="V1" s="45"/>
      <c r="W1" s="45"/>
      <c r="X1" s="45"/>
      <c r="Y1" s="46" t="s">
        <v>8</v>
      </c>
      <c r="Z1" s="46"/>
      <c r="AA1" s="46"/>
      <c r="AB1" s="47">
        <v>41973</v>
      </c>
      <c r="AC1" s="47"/>
      <c r="AD1" s="47"/>
      <c r="AE1" s="47"/>
    </row>
    <row r="2" spans="1:31" ht="18" customHeight="1">
      <c r="A2" s="5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6" t="s">
        <v>13</v>
      </c>
      <c r="R2" s="46"/>
      <c r="S2" s="46"/>
      <c r="T2" s="45"/>
      <c r="U2" s="45"/>
      <c r="V2" s="45"/>
      <c r="W2" s="45"/>
      <c r="X2" s="45"/>
      <c r="Y2" s="46" t="s">
        <v>9</v>
      </c>
      <c r="Z2" s="46"/>
      <c r="AA2" s="46"/>
      <c r="AB2" s="45"/>
      <c r="AC2" s="45"/>
      <c r="AD2" s="45"/>
      <c r="AE2" s="4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62" t="s">
        <v>29</v>
      </c>
      <c r="B4" s="62"/>
      <c r="C4" s="62"/>
      <c r="D4" s="62"/>
      <c r="E4" s="62"/>
      <c r="F4" s="54" t="str">
        <f>テーブル一覧!C10</f>
        <v>問題カテゴリマスタ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6"/>
    </row>
    <row r="5" spans="1:31">
      <c r="A5" s="62" t="s">
        <v>30</v>
      </c>
      <c r="B5" s="62"/>
      <c r="C5" s="62"/>
      <c r="D5" s="62"/>
      <c r="E5" s="62"/>
      <c r="F5" s="54" t="str">
        <f>テーブル一覧!H10</f>
        <v>M_QUESTION_CAT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6"/>
    </row>
    <row r="6" spans="1:31">
      <c r="A6" s="62" t="s">
        <v>21</v>
      </c>
      <c r="B6" s="62"/>
      <c r="C6" s="62"/>
      <c r="D6" s="62"/>
      <c r="E6" s="62"/>
      <c r="F6" s="63" t="s">
        <v>78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</row>
    <row r="8" spans="1:31">
      <c r="A8" s="21" t="s">
        <v>92</v>
      </c>
    </row>
    <row r="9" spans="1:31" s="14" customFormat="1">
      <c r="A9" s="16" t="s">
        <v>19</v>
      </c>
      <c r="B9" s="51" t="s">
        <v>34</v>
      </c>
      <c r="C9" s="51"/>
      <c r="D9" s="51"/>
      <c r="E9" s="51"/>
      <c r="F9" s="51" t="s">
        <v>35</v>
      </c>
      <c r="G9" s="51"/>
      <c r="H9" s="51"/>
      <c r="I9" s="51"/>
      <c r="J9" s="51" t="s">
        <v>36</v>
      </c>
      <c r="K9" s="51"/>
      <c r="L9" s="51"/>
      <c r="M9" s="51" t="s">
        <v>37</v>
      </c>
      <c r="N9" s="51"/>
      <c r="O9" s="57" t="s">
        <v>20</v>
      </c>
      <c r="P9" s="59"/>
      <c r="Q9" s="16" t="s">
        <v>22</v>
      </c>
      <c r="R9" s="16" t="s">
        <v>40</v>
      </c>
      <c r="S9" s="27" t="s">
        <v>98</v>
      </c>
      <c r="T9" s="57" t="s">
        <v>100</v>
      </c>
      <c r="U9" s="59"/>
      <c r="V9" s="57" t="s">
        <v>21</v>
      </c>
      <c r="W9" s="58"/>
      <c r="X9" s="58"/>
      <c r="Y9" s="58"/>
      <c r="Z9" s="58"/>
      <c r="AA9" s="58"/>
      <c r="AB9" s="58"/>
      <c r="AC9" s="58"/>
      <c r="AD9" s="58"/>
      <c r="AE9" s="59"/>
    </row>
    <row r="10" spans="1:31">
      <c r="A10" s="11">
        <f>ROW()-9</f>
        <v>1</v>
      </c>
      <c r="B10" s="64" t="s">
        <v>65</v>
      </c>
      <c r="C10" s="64"/>
      <c r="D10" s="64"/>
      <c r="E10" s="64"/>
      <c r="F10" s="64" t="s">
        <v>68</v>
      </c>
      <c r="G10" s="64"/>
      <c r="H10" s="64"/>
      <c r="I10" s="64"/>
      <c r="J10" s="63" t="s">
        <v>66</v>
      </c>
      <c r="K10" s="63"/>
      <c r="L10" s="63"/>
      <c r="M10" s="65">
        <v>2</v>
      </c>
      <c r="N10" s="65"/>
      <c r="O10" s="65"/>
      <c r="P10" s="65"/>
      <c r="Q10" s="17">
        <v>1</v>
      </c>
      <c r="R10" s="28" t="s">
        <v>45</v>
      </c>
      <c r="S10" s="28"/>
      <c r="T10" s="60"/>
      <c r="U10" s="61"/>
      <c r="V10" s="54"/>
      <c r="W10" s="55"/>
      <c r="X10" s="55"/>
      <c r="Y10" s="55"/>
      <c r="Z10" s="55"/>
      <c r="AA10" s="55"/>
      <c r="AB10" s="55"/>
      <c r="AC10" s="55"/>
      <c r="AD10" s="55"/>
      <c r="AE10" s="56"/>
    </row>
    <row r="11" spans="1:31">
      <c r="A11" s="11">
        <f t="shared" ref="A11:A18" si="0">ROW()-9</f>
        <v>2</v>
      </c>
      <c r="B11" s="64" t="s">
        <v>70</v>
      </c>
      <c r="C11" s="64"/>
      <c r="D11" s="64"/>
      <c r="E11" s="64"/>
      <c r="F11" s="64" t="s">
        <v>136</v>
      </c>
      <c r="G11" s="64"/>
      <c r="H11" s="64"/>
      <c r="I11" s="64"/>
      <c r="J11" s="63" t="s">
        <v>41</v>
      </c>
      <c r="K11" s="63"/>
      <c r="L11" s="63"/>
      <c r="M11" s="65">
        <v>2</v>
      </c>
      <c r="N11" s="65"/>
      <c r="O11" s="60"/>
      <c r="P11" s="61"/>
      <c r="Q11" s="28">
        <v>2</v>
      </c>
      <c r="R11" s="28" t="s">
        <v>45</v>
      </c>
      <c r="S11" s="28" t="s">
        <v>45</v>
      </c>
      <c r="T11" s="60"/>
      <c r="U11" s="61"/>
      <c r="V11" s="54"/>
      <c r="W11" s="55"/>
      <c r="X11" s="55"/>
      <c r="Y11" s="55"/>
      <c r="Z11" s="55"/>
      <c r="AA11" s="55"/>
      <c r="AB11" s="55"/>
      <c r="AC11" s="55"/>
      <c r="AD11" s="55"/>
      <c r="AE11" s="56"/>
    </row>
    <row r="12" spans="1:31">
      <c r="A12" s="11">
        <f t="shared" si="0"/>
        <v>3</v>
      </c>
      <c r="B12" s="64" t="s">
        <v>103</v>
      </c>
      <c r="C12" s="64"/>
      <c r="D12" s="64"/>
      <c r="E12" s="64"/>
      <c r="F12" s="64" t="s">
        <v>142</v>
      </c>
      <c r="G12" s="64"/>
      <c r="H12" s="64"/>
      <c r="I12" s="64"/>
      <c r="J12" s="63" t="s">
        <v>44</v>
      </c>
      <c r="K12" s="63"/>
      <c r="L12" s="63"/>
      <c r="M12" s="65">
        <v>50</v>
      </c>
      <c r="N12" s="65"/>
      <c r="O12" s="65"/>
      <c r="P12" s="65"/>
      <c r="Q12" s="28"/>
      <c r="R12" s="28" t="s">
        <v>45</v>
      </c>
      <c r="S12" s="28"/>
      <c r="T12" s="60"/>
      <c r="U12" s="61"/>
      <c r="V12" s="54"/>
      <c r="W12" s="55"/>
      <c r="X12" s="55"/>
      <c r="Y12" s="55"/>
      <c r="Z12" s="55"/>
      <c r="AA12" s="55"/>
      <c r="AB12" s="55"/>
      <c r="AC12" s="55"/>
      <c r="AD12" s="55"/>
      <c r="AE12" s="56"/>
    </row>
    <row r="13" spans="1:31">
      <c r="A13" s="11">
        <f t="shared" si="0"/>
        <v>4</v>
      </c>
      <c r="B13" s="64" t="s">
        <v>63</v>
      </c>
      <c r="C13" s="64"/>
      <c r="D13" s="64"/>
      <c r="E13" s="64"/>
      <c r="F13" s="64" t="s">
        <v>143</v>
      </c>
      <c r="G13" s="64"/>
      <c r="H13" s="64"/>
      <c r="I13" s="64"/>
      <c r="J13" s="70" t="s">
        <v>146</v>
      </c>
      <c r="K13" s="69"/>
      <c r="L13" s="69"/>
      <c r="M13" s="65"/>
      <c r="N13" s="65"/>
      <c r="O13" s="65"/>
      <c r="P13" s="65"/>
      <c r="Q13" s="17"/>
      <c r="R13" s="17" t="s">
        <v>45</v>
      </c>
      <c r="S13" s="28"/>
      <c r="T13" s="60"/>
      <c r="U13" s="61"/>
      <c r="V13" s="54"/>
      <c r="W13" s="55"/>
      <c r="X13" s="55"/>
      <c r="Y13" s="55"/>
      <c r="Z13" s="55"/>
      <c r="AA13" s="55"/>
      <c r="AB13" s="55"/>
      <c r="AC13" s="55"/>
      <c r="AD13" s="55"/>
      <c r="AE13" s="56"/>
    </row>
    <row r="14" spans="1:31">
      <c r="A14" s="11">
        <f t="shared" si="0"/>
        <v>5</v>
      </c>
      <c r="B14" s="64" t="s">
        <v>43</v>
      </c>
      <c r="C14" s="64"/>
      <c r="D14" s="64"/>
      <c r="E14" s="64"/>
      <c r="F14" s="64" t="s">
        <v>50</v>
      </c>
      <c r="G14" s="64"/>
      <c r="H14" s="64"/>
      <c r="I14" s="64"/>
      <c r="J14" s="63" t="s">
        <v>44</v>
      </c>
      <c r="K14" s="63"/>
      <c r="L14" s="63"/>
      <c r="M14" s="65">
        <v>16</v>
      </c>
      <c r="N14" s="65"/>
      <c r="O14" s="65"/>
      <c r="P14" s="65"/>
      <c r="Q14" s="17"/>
      <c r="R14" s="17" t="s">
        <v>45</v>
      </c>
      <c r="S14" s="28"/>
      <c r="T14" s="60"/>
      <c r="U14" s="61"/>
      <c r="V14" s="54"/>
      <c r="W14" s="55"/>
      <c r="X14" s="55"/>
      <c r="Y14" s="55"/>
      <c r="Z14" s="55"/>
      <c r="AA14" s="55"/>
      <c r="AB14" s="55"/>
      <c r="AC14" s="55"/>
      <c r="AD14" s="55"/>
      <c r="AE14" s="56"/>
    </row>
    <row r="15" spans="1:31">
      <c r="A15" s="11">
        <f t="shared" si="0"/>
        <v>6</v>
      </c>
      <c r="B15" s="64" t="s">
        <v>42</v>
      </c>
      <c r="C15" s="64"/>
      <c r="D15" s="64"/>
      <c r="E15" s="64"/>
      <c r="F15" s="64" t="s">
        <v>51</v>
      </c>
      <c r="G15" s="64"/>
      <c r="H15" s="64"/>
      <c r="I15" s="64"/>
      <c r="J15" s="63" t="s">
        <v>52</v>
      </c>
      <c r="K15" s="63"/>
      <c r="L15" s="63"/>
      <c r="M15" s="65"/>
      <c r="N15" s="65"/>
      <c r="O15" s="65"/>
      <c r="P15" s="65"/>
      <c r="Q15" s="17"/>
      <c r="R15" s="17" t="s">
        <v>45</v>
      </c>
      <c r="S15" s="28"/>
      <c r="T15" s="60"/>
      <c r="U15" s="61"/>
      <c r="V15" s="54"/>
      <c r="W15" s="55"/>
      <c r="X15" s="55"/>
      <c r="Y15" s="55"/>
      <c r="Z15" s="55"/>
      <c r="AA15" s="55"/>
      <c r="AB15" s="55"/>
      <c r="AC15" s="55"/>
      <c r="AD15" s="55"/>
      <c r="AE15" s="56"/>
    </row>
    <row r="16" spans="1:31">
      <c r="A16" s="11">
        <f t="shared" si="0"/>
        <v>7</v>
      </c>
      <c r="B16" s="64" t="s">
        <v>53</v>
      </c>
      <c r="C16" s="64"/>
      <c r="D16" s="64"/>
      <c r="E16" s="64"/>
      <c r="F16" s="64" t="s">
        <v>54</v>
      </c>
      <c r="G16" s="64"/>
      <c r="H16" s="64"/>
      <c r="I16" s="64"/>
      <c r="J16" s="63" t="s">
        <v>44</v>
      </c>
      <c r="K16" s="63"/>
      <c r="L16" s="63"/>
      <c r="M16" s="65">
        <v>16</v>
      </c>
      <c r="N16" s="65"/>
      <c r="O16" s="65"/>
      <c r="P16" s="65"/>
      <c r="Q16" s="17"/>
      <c r="R16" s="17" t="s">
        <v>45</v>
      </c>
      <c r="S16" s="28"/>
      <c r="T16" s="60"/>
      <c r="U16" s="61"/>
      <c r="V16" s="54"/>
      <c r="W16" s="55"/>
      <c r="X16" s="55"/>
      <c r="Y16" s="55"/>
      <c r="Z16" s="55"/>
      <c r="AA16" s="55"/>
      <c r="AB16" s="55"/>
      <c r="AC16" s="55"/>
      <c r="AD16" s="55"/>
      <c r="AE16" s="56"/>
    </row>
    <row r="17" spans="1:31">
      <c r="A17" s="11">
        <f t="shared" si="0"/>
        <v>8</v>
      </c>
      <c r="B17" s="64" t="s">
        <v>56</v>
      </c>
      <c r="C17" s="64"/>
      <c r="D17" s="64"/>
      <c r="E17" s="64"/>
      <c r="F17" s="64" t="s">
        <v>57</v>
      </c>
      <c r="G17" s="64"/>
      <c r="H17" s="64"/>
      <c r="I17" s="64"/>
      <c r="J17" s="63" t="s">
        <v>52</v>
      </c>
      <c r="K17" s="63"/>
      <c r="L17" s="63"/>
      <c r="M17" s="65"/>
      <c r="N17" s="65"/>
      <c r="O17" s="65"/>
      <c r="P17" s="65"/>
      <c r="Q17" s="17"/>
      <c r="R17" s="17" t="s">
        <v>45</v>
      </c>
      <c r="S17" s="28"/>
      <c r="T17" s="60"/>
      <c r="U17" s="61"/>
      <c r="V17" s="54"/>
      <c r="W17" s="55"/>
      <c r="X17" s="55"/>
      <c r="Y17" s="55"/>
      <c r="Z17" s="55"/>
      <c r="AA17" s="55"/>
      <c r="AB17" s="55"/>
      <c r="AC17" s="55"/>
      <c r="AD17" s="55"/>
      <c r="AE17" s="56"/>
    </row>
    <row r="18" spans="1:31">
      <c r="A18" s="11">
        <f t="shared" si="0"/>
        <v>9</v>
      </c>
      <c r="B18" s="64" t="s">
        <v>58</v>
      </c>
      <c r="C18" s="64"/>
      <c r="D18" s="64"/>
      <c r="E18" s="64"/>
      <c r="F18" s="64" t="s">
        <v>138</v>
      </c>
      <c r="G18" s="64"/>
      <c r="H18" s="64"/>
      <c r="I18" s="64"/>
      <c r="J18" s="63" t="s">
        <v>41</v>
      </c>
      <c r="K18" s="63"/>
      <c r="L18" s="63"/>
      <c r="M18" s="65">
        <v>1</v>
      </c>
      <c r="N18" s="65"/>
      <c r="O18" s="65">
        <v>0</v>
      </c>
      <c r="P18" s="65"/>
      <c r="Q18" s="17"/>
      <c r="R18" s="17" t="s">
        <v>45</v>
      </c>
      <c r="S18" s="28"/>
      <c r="T18" s="60" t="s">
        <v>99</v>
      </c>
      <c r="U18" s="61"/>
      <c r="V18" s="54"/>
      <c r="W18" s="55"/>
      <c r="X18" s="55"/>
      <c r="Y18" s="55"/>
      <c r="Z18" s="55"/>
      <c r="AA18" s="55"/>
      <c r="AB18" s="55"/>
      <c r="AC18" s="55"/>
      <c r="AD18" s="55"/>
      <c r="AE18" s="56"/>
    </row>
  </sheetData>
  <mergeCells count="86">
    <mergeCell ref="V15:AE15"/>
    <mergeCell ref="T16:U16"/>
    <mergeCell ref="V16:AE16"/>
    <mergeCell ref="T17:U17"/>
    <mergeCell ref="V17:AE17"/>
    <mergeCell ref="T18:U18"/>
    <mergeCell ref="V18:AE18"/>
    <mergeCell ref="B12:E12"/>
    <mergeCell ref="F12:I12"/>
    <mergeCell ref="J12:L12"/>
    <mergeCell ref="M12:N12"/>
    <mergeCell ref="O12:P12"/>
    <mergeCell ref="T12:U12"/>
    <mergeCell ref="V12:AE12"/>
    <mergeCell ref="T13:U13"/>
    <mergeCell ref="V13:AE13"/>
    <mergeCell ref="T14:U14"/>
    <mergeCell ref="V14:AE14"/>
    <mergeCell ref="T15:U15"/>
    <mergeCell ref="B16:E16"/>
    <mergeCell ref="F16:I16"/>
    <mergeCell ref="AB1:AE1"/>
    <mergeCell ref="Q2:S2"/>
    <mergeCell ref="T2:X2"/>
    <mergeCell ref="Y2:AA2"/>
    <mergeCell ref="AB2:AE2"/>
    <mergeCell ref="T9:U9"/>
    <mergeCell ref="V9:AE9"/>
    <mergeCell ref="T10:U10"/>
    <mergeCell ref="V10:AE10"/>
    <mergeCell ref="T11:U11"/>
    <mergeCell ref="V11:AE11"/>
    <mergeCell ref="A1:B2"/>
    <mergeCell ref="C1:P2"/>
    <mergeCell ref="Q1:S1"/>
    <mergeCell ref="T1:X1"/>
    <mergeCell ref="Y1:AA1"/>
    <mergeCell ref="A4:E4"/>
    <mergeCell ref="F4:AE4"/>
    <mergeCell ref="A5:E5"/>
    <mergeCell ref="F5:AE5"/>
    <mergeCell ref="O13:P13"/>
    <mergeCell ref="A6:E6"/>
    <mergeCell ref="F6:AE6"/>
    <mergeCell ref="B10:E10"/>
    <mergeCell ref="F10:I10"/>
    <mergeCell ref="J10:L10"/>
    <mergeCell ref="M10:N10"/>
    <mergeCell ref="O10:P10"/>
    <mergeCell ref="B9:E9"/>
    <mergeCell ref="F9:I9"/>
    <mergeCell ref="J9:L9"/>
    <mergeCell ref="M9:N9"/>
    <mergeCell ref="O9:P9"/>
    <mergeCell ref="B11:E11"/>
    <mergeCell ref="F11:I11"/>
    <mergeCell ref="J11:L11"/>
    <mergeCell ref="M11:N11"/>
    <mergeCell ref="O11:P11"/>
    <mergeCell ref="O14:P14"/>
    <mergeCell ref="J16:L16"/>
    <mergeCell ref="M16:N16"/>
    <mergeCell ref="O16:P16"/>
    <mergeCell ref="B15:E15"/>
    <mergeCell ref="F15:I15"/>
    <mergeCell ref="J15:L15"/>
    <mergeCell ref="M15:N15"/>
    <mergeCell ref="O15:P15"/>
    <mergeCell ref="B13:E13"/>
    <mergeCell ref="F13:I13"/>
    <mergeCell ref="J13:L13"/>
    <mergeCell ref="M13:N13"/>
    <mergeCell ref="B18:E18"/>
    <mergeCell ref="F18:I18"/>
    <mergeCell ref="J18:L18"/>
    <mergeCell ref="M18:N18"/>
    <mergeCell ref="B14:E14"/>
    <mergeCell ref="F14:I14"/>
    <mergeCell ref="J14:L14"/>
    <mergeCell ref="M14:N14"/>
    <mergeCell ref="O18:P18"/>
    <mergeCell ref="B17:E17"/>
    <mergeCell ref="F17:I17"/>
    <mergeCell ref="J17:L17"/>
    <mergeCell ref="M17:N17"/>
    <mergeCell ref="O17:P17"/>
  </mergeCells>
  <phoneticPr fontId="3"/>
  <hyperlinks>
    <hyperlink ref="A8" location="テーブル一覧!A1" display="一覧に戻る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"/>
  <sheetViews>
    <sheetView showGridLines="0" view="pageBreakPreview" zoomScaleSheetLayoutView="100" workbookViewId="0">
      <selection activeCell="J14" sqref="J14:L14"/>
    </sheetView>
  </sheetViews>
  <sheetFormatPr defaultColWidth="3.875" defaultRowHeight="12"/>
  <cols>
    <col min="1" max="16384" width="3.875" style="6"/>
  </cols>
  <sheetData>
    <row r="1" spans="1:31" ht="18" customHeight="1">
      <c r="A1" s="51" t="s">
        <v>10</v>
      </c>
      <c r="B1" s="51"/>
      <c r="C1" s="52" t="str">
        <f>表紙!B3</f>
        <v>アビックトレーニング（仮）DB定義書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6" t="s">
        <v>12</v>
      </c>
      <c r="R1" s="46"/>
      <c r="S1" s="46"/>
      <c r="T1" s="45" t="s">
        <v>14</v>
      </c>
      <c r="U1" s="45"/>
      <c r="V1" s="45"/>
      <c r="W1" s="45"/>
      <c r="X1" s="45"/>
      <c r="Y1" s="46" t="s">
        <v>8</v>
      </c>
      <c r="Z1" s="46"/>
      <c r="AA1" s="46"/>
      <c r="AB1" s="47">
        <v>41973</v>
      </c>
      <c r="AC1" s="47"/>
      <c r="AD1" s="47"/>
      <c r="AE1" s="47"/>
    </row>
    <row r="2" spans="1:31" ht="18" customHeight="1">
      <c r="A2" s="5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6" t="s">
        <v>13</v>
      </c>
      <c r="R2" s="46"/>
      <c r="S2" s="46"/>
      <c r="T2" s="45"/>
      <c r="U2" s="45"/>
      <c r="V2" s="45"/>
      <c r="W2" s="45"/>
      <c r="X2" s="45"/>
      <c r="Y2" s="46" t="s">
        <v>9</v>
      </c>
      <c r="Z2" s="46"/>
      <c r="AA2" s="46"/>
      <c r="AB2" s="45"/>
      <c r="AC2" s="45"/>
      <c r="AD2" s="45"/>
      <c r="AE2" s="4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62" t="s">
        <v>29</v>
      </c>
      <c r="B4" s="62"/>
      <c r="C4" s="62"/>
      <c r="D4" s="62"/>
      <c r="E4" s="62"/>
      <c r="F4" s="54" t="str">
        <f>テーブル一覧!C11</f>
        <v>問題サブカテゴリマスタ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6"/>
    </row>
    <row r="5" spans="1:31">
      <c r="A5" s="62" t="s">
        <v>30</v>
      </c>
      <c r="B5" s="62"/>
      <c r="C5" s="62"/>
      <c r="D5" s="62"/>
      <c r="E5" s="62"/>
      <c r="F5" s="54" t="str">
        <f>テーブル一覧!H11</f>
        <v>M_SUB_QUESTION_CAT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6"/>
    </row>
    <row r="6" spans="1:31">
      <c r="A6" s="62" t="s">
        <v>21</v>
      </c>
      <c r="B6" s="62"/>
      <c r="C6" s="62"/>
      <c r="D6" s="62"/>
      <c r="E6" s="62"/>
      <c r="F6" s="63" t="s">
        <v>80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</row>
    <row r="8" spans="1:31">
      <c r="A8" s="21" t="s">
        <v>92</v>
      </c>
    </row>
    <row r="9" spans="1:31" s="14" customFormat="1">
      <c r="A9" s="16" t="s">
        <v>19</v>
      </c>
      <c r="B9" s="51" t="s">
        <v>34</v>
      </c>
      <c r="C9" s="51"/>
      <c r="D9" s="51"/>
      <c r="E9" s="51"/>
      <c r="F9" s="51" t="s">
        <v>35</v>
      </c>
      <c r="G9" s="51"/>
      <c r="H9" s="51"/>
      <c r="I9" s="51"/>
      <c r="J9" s="51" t="s">
        <v>36</v>
      </c>
      <c r="K9" s="51"/>
      <c r="L9" s="51"/>
      <c r="M9" s="51" t="s">
        <v>37</v>
      </c>
      <c r="N9" s="51"/>
      <c r="O9" s="57" t="s">
        <v>20</v>
      </c>
      <c r="P9" s="59"/>
      <c r="Q9" s="16" t="s">
        <v>22</v>
      </c>
      <c r="R9" s="16" t="s">
        <v>40</v>
      </c>
      <c r="S9" s="27" t="s">
        <v>98</v>
      </c>
      <c r="T9" s="57" t="s">
        <v>100</v>
      </c>
      <c r="U9" s="59"/>
      <c r="V9" s="57" t="s">
        <v>21</v>
      </c>
      <c r="W9" s="58"/>
      <c r="X9" s="58"/>
      <c r="Y9" s="58"/>
      <c r="Z9" s="58"/>
      <c r="AA9" s="58"/>
      <c r="AB9" s="58"/>
      <c r="AC9" s="58"/>
      <c r="AD9" s="58"/>
      <c r="AE9" s="59"/>
    </row>
    <row r="10" spans="1:31">
      <c r="A10" s="11">
        <f>ROW()-9</f>
        <v>1</v>
      </c>
      <c r="B10" s="64" t="s">
        <v>71</v>
      </c>
      <c r="C10" s="64"/>
      <c r="D10" s="64"/>
      <c r="E10" s="64"/>
      <c r="F10" s="64" t="s">
        <v>74</v>
      </c>
      <c r="G10" s="64"/>
      <c r="H10" s="64"/>
      <c r="I10" s="64"/>
      <c r="J10" s="63" t="s">
        <v>66</v>
      </c>
      <c r="K10" s="63"/>
      <c r="L10" s="63"/>
      <c r="M10" s="60">
        <v>2</v>
      </c>
      <c r="N10" s="61"/>
      <c r="O10" s="60"/>
      <c r="P10" s="61"/>
      <c r="Q10" s="17">
        <v>1</v>
      </c>
      <c r="R10" s="28" t="s">
        <v>45</v>
      </c>
      <c r="S10" s="28"/>
      <c r="T10" s="60"/>
      <c r="U10" s="61"/>
      <c r="V10" s="54"/>
      <c r="W10" s="55"/>
      <c r="X10" s="55"/>
      <c r="Y10" s="55"/>
      <c r="Z10" s="55"/>
      <c r="AA10" s="55"/>
      <c r="AB10" s="55"/>
      <c r="AC10" s="55"/>
      <c r="AD10" s="55"/>
      <c r="AE10" s="56"/>
    </row>
    <row r="11" spans="1:31">
      <c r="A11" s="11">
        <f t="shared" ref="A11" si="0">ROW()-9</f>
        <v>2</v>
      </c>
      <c r="B11" s="64" t="s">
        <v>70</v>
      </c>
      <c r="C11" s="64"/>
      <c r="D11" s="64"/>
      <c r="E11" s="64"/>
      <c r="F11" s="64" t="s">
        <v>137</v>
      </c>
      <c r="G11" s="64"/>
      <c r="H11" s="64"/>
      <c r="I11" s="64"/>
      <c r="J11" s="63" t="s">
        <v>41</v>
      </c>
      <c r="K11" s="63"/>
      <c r="L11" s="63"/>
      <c r="M11" s="65">
        <v>2</v>
      </c>
      <c r="N11" s="65"/>
      <c r="O11" s="60"/>
      <c r="P11" s="61"/>
      <c r="Q11" s="31">
        <v>2</v>
      </c>
      <c r="R11" s="31" t="s">
        <v>45</v>
      </c>
      <c r="S11" s="31" t="s">
        <v>45</v>
      </c>
      <c r="T11" s="60"/>
      <c r="U11" s="61"/>
      <c r="V11" s="54"/>
      <c r="W11" s="55"/>
      <c r="X11" s="55"/>
      <c r="Y11" s="55"/>
      <c r="Z11" s="55"/>
      <c r="AA11" s="55"/>
      <c r="AB11" s="55"/>
      <c r="AC11" s="55"/>
      <c r="AD11" s="55"/>
      <c r="AE11" s="56"/>
    </row>
    <row r="12" spans="1:31">
      <c r="A12" s="11">
        <f t="shared" ref="A12:A19" si="1">ROW()-9</f>
        <v>3</v>
      </c>
      <c r="B12" s="64" t="s">
        <v>65</v>
      </c>
      <c r="C12" s="64"/>
      <c r="D12" s="64"/>
      <c r="E12" s="64"/>
      <c r="F12" s="64" t="s">
        <v>68</v>
      </c>
      <c r="G12" s="64"/>
      <c r="H12" s="64"/>
      <c r="I12" s="64"/>
      <c r="J12" s="63" t="s">
        <v>66</v>
      </c>
      <c r="K12" s="63"/>
      <c r="L12" s="63"/>
      <c r="M12" s="60">
        <v>2</v>
      </c>
      <c r="N12" s="61"/>
      <c r="O12" s="60"/>
      <c r="P12" s="61">
        <v>2</v>
      </c>
      <c r="Q12" s="17">
        <v>3</v>
      </c>
      <c r="R12" s="28" t="s">
        <v>45</v>
      </c>
      <c r="S12" s="28" t="s">
        <v>104</v>
      </c>
      <c r="T12" s="60"/>
      <c r="U12" s="61"/>
      <c r="V12" s="54"/>
      <c r="W12" s="55"/>
      <c r="X12" s="55"/>
      <c r="Y12" s="55"/>
      <c r="Z12" s="55"/>
      <c r="AA12" s="55"/>
      <c r="AB12" s="55"/>
      <c r="AC12" s="55"/>
      <c r="AD12" s="55"/>
      <c r="AE12" s="56"/>
    </row>
    <row r="13" spans="1:31">
      <c r="A13" s="11">
        <f t="shared" si="1"/>
        <v>4</v>
      </c>
      <c r="B13" s="64" t="s">
        <v>107</v>
      </c>
      <c r="C13" s="64"/>
      <c r="D13" s="64"/>
      <c r="E13" s="64"/>
      <c r="F13" s="64" t="s">
        <v>139</v>
      </c>
      <c r="G13" s="64"/>
      <c r="H13" s="64"/>
      <c r="I13" s="64"/>
      <c r="J13" s="63" t="s">
        <v>44</v>
      </c>
      <c r="K13" s="63"/>
      <c r="L13" s="63"/>
      <c r="M13" s="65">
        <v>50</v>
      </c>
      <c r="N13" s="65"/>
      <c r="O13" s="60"/>
      <c r="P13" s="61"/>
      <c r="Q13" s="17"/>
      <c r="R13" s="17" t="s">
        <v>76</v>
      </c>
      <c r="S13" s="28"/>
      <c r="T13" s="60"/>
      <c r="U13" s="61"/>
      <c r="V13" s="54"/>
      <c r="W13" s="55"/>
      <c r="X13" s="55"/>
      <c r="Y13" s="55"/>
      <c r="Z13" s="55"/>
      <c r="AA13" s="55"/>
      <c r="AB13" s="55"/>
      <c r="AC13" s="55"/>
      <c r="AD13" s="55"/>
      <c r="AE13" s="56"/>
    </row>
    <row r="14" spans="1:31">
      <c r="A14" s="11">
        <f t="shared" si="1"/>
        <v>5</v>
      </c>
      <c r="B14" s="64" t="s">
        <v>63</v>
      </c>
      <c r="C14" s="64"/>
      <c r="D14" s="64"/>
      <c r="E14" s="64"/>
      <c r="F14" s="64" t="s">
        <v>79</v>
      </c>
      <c r="G14" s="64"/>
      <c r="H14" s="64"/>
      <c r="I14" s="64"/>
      <c r="J14" s="70" t="s">
        <v>146</v>
      </c>
      <c r="K14" s="69"/>
      <c r="L14" s="69"/>
      <c r="M14" s="65"/>
      <c r="N14" s="65"/>
      <c r="O14" s="65"/>
      <c r="P14" s="65"/>
      <c r="Q14" s="20"/>
      <c r="R14" s="20" t="s">
        <v>45</v>
      </c>
      <c r="S14" s="28"/>
      <c r="T14" s="60"/>
      <c r="U14" s="61"/>
      <c r="V14" s="54"/>
      <c r="W14" s="55"/>
      <c r="X14" s="55"/>
      <c r="Y14" s="55"/>
      <c r="Z14" s="55"/>
      <c r="AA14" s="55"/>
      <c r="AB14" s="55"/>
      <c r="AC14" s="55"/>
      <c r="AD14" s="55"/>
      <c r="AE14" s="56"/>
    </row>
    <row r="15" spans="1:31">
      <c r="A15" s="11">
        <f t="shared" si="1"/>
        <v>6</v>
      </c>
      <c r="B15" s="64" t="s">
        <v>43</v>
      </c>
      <c r="C15" s="64"/>
      <c r="D15" s="64"/>
      <c r="E15" s="64"/>
      <c r="F15" s="64" t="s">
        <v>145</v>
      </c>
      <c r="G15" s="64"/>
      <c r="H15" s="64"/>
      <c r="I15" s="64"/>
      <c r="J15" s="63" t="s">
        <v>44</v>
      </c>
      <c r="K15" s="63"/>
      <c r="L15" s="63"/>
      <c r="M15" s="60">
        <v>16</v>
      </c>
      <c r="N15" s="61"/>
      <c r="O15" s="60"/>
      <c r="P15" s="61"/>
      <c r="Q15" s="17"/>
      <c r="R15" s="17" t="s">
        <v>76</v>
      </c>
      <c r="S15" s="28"/>
      <c r="T15" s="60"/>
      <c r="U15" s="61"/>
      <c r="V15" s="54"/>
      <c r="W15" s="55"/>
      <c r="X15" s="55"/>
      <c r="Y15" s="55"/>
      <c r="Z15" s="55"/>
      <c r="AA15" s="55"/>
      <c r="AB15" s="55"/>
      <c r="AC15" s="55"/>
      <c r="AD15" s="55"/>
      <c r="AE15" s="56"/>
    </row>
    <row r="16" spans="1:31">
      <c r="A16" s="11">
        <f t="shared" si="1"/>
        <v>7</v>
      </c>
      <c r="B16" s="64" t="s">
        <v>42</v>
      </c>
      <c r="C16" s="64"/>
      <c r="D16" s="64"/>
      <c r="E16" s="64"/>
      <c r="F16" s="64" t="s">
        <v>51</v>
      </c>
      <c r="G16" s="64"/>
      <c r="H16" s="64"/>
      <c r="I16" s="64"/>
      <c r="J16" s="63" t="s">
        <v>52</v>
      </c>
      <c r="K16" s="63"/>
      <c r="L16" s="63"/>
      <c r="M16" s="60"/>
      <c r="N16" s="61"/>
      <c r="O16" s="60"/>
      <c r="P16" s="61"/>
      <c r="Q16" s="17"/>
      <c r="R16" s="17" t="s">
        <v>76</v>
      </c>
      <c r="S16" s="28"/>
      <c r="T16" s="60"/>
      <c r="U16" s="61"/>
      <c r="V16" s="54"/>
      <c r="W16" s="55"/>
      <c r="X16" s="55"/>
      <c r="Y16" s="55"/>
      <c r="Z16" s="55"/>
      <c r="AA16" s="55"/>
      <c r="AB16" s="55"/>
      <c r="AC16" s="55"/>
      <c r="AD16" s="55"/>
      <c r="AE16" s="56"/>
    </row>
    <row r="17" spans="1:31">
      <c r="A17" s="11">
        <f t="shared" si="1"/>
        <v>8</v>
      </c>
      <c r="B17" s="64" t="s">
        <v>53</v>
      </c>
      <c r="C17" s="64"/>
      <c r="D17" s="64"/>
      <c r="E17" s="64"/>
      <c r="F17" s="64" t="s">
        <v>54</v>
      </c>
      <c r="G17" s="64"/>
      <c r="H17" s="64"/>
      <c r="I17" s="64"/>
      <c r="J17" s="63" t="s">
        <v>44</v>
      </c>
      <c r="K17" s="63"/>
      <c r="L17" s="63"/>
      <c r="M17" s="60">
        <v>16</v>
      </c>
      <c r="N17" s="61"/>
      <c r="O17" s="60"/>
      <c r="P17" s="61"/>
      <c r="Q17" s="17"/>
      <c r="R17" s="17" t="s">
        <v>76</v>
      </c>
      <c r="S17" s="28"/>
      <c r="T17" s="60"/>
      <c r="U17" s="61"/>
      <c r="V17" s="54"/>
      <c r="W17" s="55"/>
      <c r="X17" s="55"/>
      <c r="Y17" s="55"/>
      <c r="Z17" s="55"/>
      <c r="AA17" s="55"/>
      <c r="AB17" s="55"/>
      <c r="AC17" s="55"/>
      <c r="AD17" s="55"/>
      <c r="AE17" s="56"/>
    </row>
    <row r="18" spans="1:31">
      <c r="A18" s="11">
        <f t="shared" si="1"/>
        <v>9</v>
      </c>
      <c r="B18" s="64" t="s">
        <v>56</v>
      </c>
      <c r="C18" s="64"/>
      <c r="D18" s="64"/>
      <c r="E18" s="64"/>
      <c r="F18" s="64" t="s">
        <v>57</v>
      </c>
      <c r="G18" s="64"/>
      <c r="H18" s="64"/>
      <c r="I18" s="64"/>
      <c r="J18" s="63" t="s">
        <v>52</v>
      </c>
      <c r="K18" s="63"/>
      <c r="L18" s="63"/>
      <c r="M18" s="60"/>
      <c r="N18" s="61"/>
      <c r="O18" s="60"/>
      <c r="P18" s="61"/>
      <c r="Q18" s="17"/>
      <c r="R18" s="17" t="s">
        <v>76</v>
      </c>
      <c r="S18" s="28"/>
      <c r="T18" s="60"/>
      <c r="U18" s="61"/>
      <c r="V18" s="54"/>
      <c r="W18" s="55"/>
      <c r="X18" s="55"/>
      <c r="Y18" s="55"/>
      <c r="Z18" s="55"/>
      <c r="AA18" s="55"/>
      <c r="AB18" s="55"/>
      <c r="AC18" s="55"/>
      <c r="AD18" s="55"/>
      <c r="AE18" s="56"/>
    </row>
    <row r="19" spans="1:31">
      <c r="A19" s="11">
        <f t="shared" si="1"/>
        <v>10</v>
      </c>
      <c r="B19" s="64" t="s">
        <v>58</v>
      </c>
      <c r="C19" s="64"/>
      <c r="D19" s="64"/>
      <c r="E19" s="64"/>
      <c r="F19" s="64" t="s">
        <v>59</v>
      </c>
      <c r="G19" s="64"/>
      <c r="H19" s="64"/>
      <c r="I19" s="64"/>
      <c r="J19" s="63" t="s">
        <v>41</v>
      </c>
      <c r="K19" s="63"/>
      <c r="L19" s="63"/>
      <c r="M19" s="65">
        <v>1</v>
      </c>
      <c r="N19" s="65"/>
      <c r="O19" s="65">
        <v>0</v>
      </c>
      <c r="P19" s="65"/>
      <c r="Q19" s="28"/>
      <c r="R19" s="28" t="s">
        <v>45</v>
      </c>
      <c r="S19" s="28"/>
      <c r="T19" s="60" t="s">
        <v>99</v>
      </c>
      <c r="U19" s="61"/>
      <c r="V19" s="54"/>
      <c r="W19" s="55"/>
      <c r="X19" s="55"/>
      <c r="Y19" s="55"/>
      <c r="Z19" s="55"/>
      <c r="AA19" s="55"/>
      <c r="AB19" s="55"/>
      <c r="AC19" s="55"/>
      <c r="AD19" s="55"/>
      <c r="AE19" s="56"/>
    </row>
  </sheetData>
  <mergeCells count="93">
    <mergeCell ref="M11:N11"/>
    <mergeCell ref="O11:P11"/>
    <mergeCell ref="T11:U11"/>
    <mergeCell ref="V11:AE11"/>
    <mergeCell ref="T14:U14"/>
    <mergeCell ref="V14:AE14"/>
    <mergeCell ref="T13:U13"/>
    <mergeCell ref="V13:AE13"/>
    <mergeCell ref="T15:U15"/>
    <mergeCell ref="V15:AE15"/>
    <mergeCell ref="T16:U16"/>
    <mergeCell ref="V16:AE16"/>
    <mergeCell ref="M19:N19"/>
    <mergeCell ref="O19:P19"/>
    <mergeCell ref="M17:N17"/>
    <mergeCell ref="O17:P17"/>
    <mergeCell ref="M18:N18"/>
    <mergeCell ref="O18:P18"/>
    <mergeCell ref="T17:U17"/>
    <mergeCell ref="V17:AE17"/>
    <mergeCell ref="T18:U18"/>
    <mergeCell ref="V18:AE18"/>
    <mergeCell ref="T19:U19"/>
    <mergeCell ref="V19:AE19"/>
    <mergeCell ref="M15:N15"/>
    <mergeCell ref="O15:P15"/>
    <mergeCell ref="M16:N16"/>
    <mergeCell ref="O16:P16"/>
    <mergeCell ref="M12:N12"/>
    <mergeCell ref="O12:P12"/>
    <mergeCell ref="M13:N13"/>
    <mergeCell ref="O13:P13"/>
    <mergeCell ref="M14:N14"/>
    <mergeCell ref="O14:P14"/>
    <mergeCell ref="AB1:AE1"/>
    <mergeCell ref="Q2:S2"/>
    <mergeCell ref="T2:X2"/>
    <mergeCell ref="Y2:AA2"/>
    <mergeCell ref="AB2:AE2"/>
    <mergeCell ref="T9:U9"/>
    <mergeCell ref="V9:AE9"/>
    <mergeCell ref="T10:U10"/>
    <mergeCell ref="V10:AE10"/>
    <mergeCell ref="T12:U12"/>
    <mergeCell ref="V12:AE12"/>
    <mergeCell ref="A1:B2"/>
    <mergeCell ref="C1:P2"/>
    <mergeCell ref="Q1:S1"/>
    <mergeCell ref="T1:X1"/>
    <mergeCell ref="Y1:AA1"/>
    <mergeCell ref="A4:E4"/>
    <mergeCell ref="F4:AE4"/>
    <mergeCell ref="A5:E5"/>
    <mergeCell ref="F5:AE5"/>
    <mergeCell ref="A6:E6"/>
    <mergeCell ref="F6:AE6"/>
    <mergeCell ref="M9:N9"/>
    <mergeCell ref="O9:P9"/>
    <mergeCell ref="B10:E10"/>
    <mergeCell ref="F10:I10"/>
    <mergeCell ref="J10:L10"/>
    <mergeCell ref="O10:P10"/>
    <mergeCell ref="M10:N10"/>
    <mergeCell ref="F15:I15"/>
    <mergeCell ref="J15:L15"/>
    <mergeCell ref="B9:E9"/>
    <mergeCell ref="F9:I9"/>
    <mergeCell ref="J9:L9"/>
    <mergeCell ref="B12:E12"/>
    <mergeCell ref="F12:I12"/>
    <mergeCell ref="J12:L12"/>
    <mergeCell ref="B13:E13"/>
    <mergeCell ref="F13:I13"/>
    <mergeCell ref="J13:L13"/>
    <mergeCell ref="B11:E11"/>
    <mergeCell ref="F11:I11"/>
    <mergeCell ref="J11:L11"/>
    <mergeCell ref="B19:E19"/>
    <mergeCell ref="F19:I19"/>
    <mergeCell ref="J19:L19"/>
    <mergeCell ref="B14:E14"/>
    <mergeCell ref="F14:I14"/>
    <mergeCell ref="J14:L14"/>
    <mergeCell ref="B18:E18"/>
    <mergeCell ref="F18:I18"/>
    <mergeCell ref="J18:L18"/>
    <mergeCell ref="B17:E17"/>
    <mergeCell ref="F17:I17"/>
    <mergeCell ref="J17:L17"/>
    <mergeCell ref="B16:E16"/>
    <mergeCell ref="F16:I16"/>
    <mergeCell ref="J16:L16"/>
    <mergeCell ref="B15:E15"/>
  </mergeCells>
  <phoneticPr fontId="3"/>
  <hyperlinks>
    <hyperlink ref="A8" location="テーブル一覧!A1" display="一覧に戻る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"/>
  <sheetViews>
    <sheetView showGridLines="0" view="pageBreakPreview" zoomScaleSheetLayoutView="100" workbookViewId="0">
      <selection sqref="A1:B2"/>
    </sheetView>
  </sheetViews>
  <sheetFormatPr defaultColWidth="3.875" defaultRowHeight="12"/>
  <cols>
    <col min="1" max="16384" width="3.875" style="6"/>
  </cols>
  <sheetData>
    <row r="1" spans="1:31" ht="18" customHeight="1">
      <c r="A1" s="51" t="s">
        <v>10</v>
      </c>
      <c r="B1" s="51"/>
      <c r="C1" s="52" t="str">
        <f>表紙!B3</f>
        <v>アビックトレーニング（仮）DB定義書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6" t="s">
        <v>12</v>
      </c>
      <c r="R1" s="46"/>
      <c r="S1" s="46"/>
      <c r="T1" s="45" t="s">
        <v>14</v>
      </c>
      <c r="U1" s="45"/>
      <c r="V1" s="45"/>
      <c r="W1" s="45"/>
      <c r="X1" s="45"/>
      <c r="Y1" s="46" t="s">
        <v>8</v>
      </c>
      <c r="Z1" s="46"/>
      <c r="AA1" s="46"/>
      <c r="AB1" s="47">
        <v>41973</v>
      </c>
      <c r="AC1" s="47"/>
      <c r="AD1" s="47"/>
      <c r="AE1" s="47"/>
    </row>
    <row r="2" spans="1:31" ht="18" customHeight="1">
      <c r="A2" s="5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6" t="s">
        <v>13</v>
      </c>
      <c r="R2" s="46"/>
      <c r="S2" s="46"/>
      <c r="T2" s="45"/>
      <c r="U2" s="45"/>
      <c r="V2" s="45"/>
      <c r="W2" s="45"/>
      <c r="X2" s="45"/>
      <c r="Y2" s="46" t="s">
        <v>9</v>
      </c>
      <c r="Z2" s="46"/>
      <c r="AA2" s="46"/>
      <c r="AB2" s="45"/>
      <c r="AC2" s="45"/>
      <c r="AD2" s="45"/>
      <c r="AE2" s="4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62" t="s">
        <v>29</v>
      </c>
      <c r="B4" s="62"/>
      <c r="C4" s="62"/>
      <c r="D4" s="62"/>
      <c r="E4" s="62"/>
      <c r="F4" s="54" t="str">
        <f>テーブル一覧!C12</f>
        <v>問題マスタ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6"/>
    </row>
    <row r="5" spans="1:31">
      <c r="A5" s="62" t="s">
        <v>30</v>
      </c>
      <c r="B5" s="62"/>
      <c r="C5" s="62"/>
      <c r="D5" s="62"/>
      <c r="E5" s="62"/>
      <c r="F5" s="54" t="str">
        <f>テーブル一覧!H12</f>
        <v>M_QUESTION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6"/>
    </row>
    <row r="6" spans="1:31">
      <c r="A6" s="62" t="s">
        <v>21</v>
      </c>
      <c r="B6" s="62"/>
      <c r="C6" s="62"/>
      <c r="D6" s="62"/>
      <c r="E6" s="62"/>
      <c r="F6" s="63" t="s">
        <v>82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</row>
    <row r="8" spans="1:31">
      <c r="A8" s="21" t="s">
        <v>92</v>
      </c>
    </row>
    <row r="9" spans="1:31" s="14" customFormat="1">
      <c r="A9" s="16" t="s">
        <v>19</v>
      </c>
      <c r="B9" s="51" t="s">
        <v>34</v>
      </c>
      <c r="C9" s="51"/>
      <c r="D9" s="51"/>
      <c r="E9" s="51"/>
      <c r="F9" s="51" t="s">
        <v>35</v>
      </c>
      <c r="G9" s="51"/>
      <c r="H9" s="51"/>
      <c r="I9" s="51"/>
      <c r="J9" s="51" t="s">
        <v>36</v>
      </c>
      <c r="K9" s="51"/>
      <c r="L9" s="51"/>
      <c r="M9" s="51" t="s">
        <v>37</v>
      </c>
      <c r="N9" s="51"/>
      <c r="O9" s="51" t="s">
        <v>20</v>
      </c>
      <c r="P9" s="51"/>
      <c r="Q9" s="16" t="s">
        <v>22</v>
      </c>
      <c r="R9" s="16" t="s">
        <v>40</v>
      </c>
      <c r="S9" s="27" t="s">
        <v>98</v>
      </c>
      <c r="T9" s="57" t="s">
        <v>100</v>
      </c>
      <c r="U9" s="59"/>
      <c r="V9" s="57" t="s">
        <v>21</v>
      </c>
      <c r="W9" s="58"/>
      <c r="X9" s="58"/>
      <c r="Y9" s="58"/>
      <c r="Z9" s="58"/>
      <c r="AA9" s="58"/>
      <c r="AB9" s="58"/>
      <c r="AC9" s="58"/>
      <c r="AD9" s="58"/>
      <c r="AE9" s="59"/>
    </row>
    <row r="10" spans="1:31">
      <c r="A10" s="11">
        <f>ROW()-9</f>
        <v>1</v>
      </c>
      <c r="B10" s="64" t="s">
        <v>69</v>
      </c>
      <c r="C10" s="64"/>
      <c r="D10" s="64"/>
      <c r="E10" s="64"/>
      <c r="F10" s="64" t="s">
        <v>75</v>
      </c>
      <c r="G10" s="64"/>
      <c r="H10" s="64"/>
      <c r="I10" s="64"/>
      <c r="J10" s="63" t="s">
        <v>66</v>
      </c>
      <c r="K10" s="63"/>
      <c r="L10" s="63"/>
      <c r="M10" s="65">
        <v>9</v>
      </c>
      <c r="N10" s="65"/>
      <c r="O10" s="65"/>
      <c r="P10" s="65"/>
      <c r="Q10" s="17">
        <v>1</v>
      </c>
      <c r="R10" s="28" t="s">
        <v>45</v>
      </c>
      <c r="S10" s="28"/>
      <c r="T10" s="60"/>
      <c r="U10" s="61"/>
      <c r="V10" s="66" t="s">
        <v>122</v>
      </c>
      <c r="W10" s="67"/>
      <c r="X10" s="67"/>
      <c r="Y10" s="67"/>
      <c r="Z10" s="67"/>
      <c r="AA10" s="67"/>
      <c r="AB10" s="67"/>
      <c r="AC10" s="67"/>
      <c r="AD10" s="67"/>
      <c r="AE10" s="68"/>
    </row>
    <row r="11" spans="1:31">
      <c r="A11" s="11">
        <f t="shared" ref="A11" si="0">ROW()-9</f>
        <v>2</v>
      </c>
      <c r="B11" s="64" t="s">
        <v>70</v>
      </c>
      <c r="C11" s="64"/>
      <c r="D11" s="64"/>
      <c r="E11" s="64"/>
      <c r="F11" s="64" t="s">
        <v>125</v>
      </c>
      <c r="G11" s="64"/>
      <c r="H11" s="64"/>
      <c r="I11" s="64"/>
      <c r="J11" s="63" t="s">
        <v>41</v>
      </c>
      <c r="K11" s="63"/>
      <c r="L11" s="63"/>
      <c r="M11" s="65">
        <v>2</v>
      </c>
      <c r="N11" s="65"/>
      <c r="O11" s="60"/>
      <c r="P11" s="61"/>
      <c r="Q11" s="31"/>
      <c r="R11" s="31" t="s">
        <v>45</v>
      </c>
      <c r="S11" s="31" t="s">
        <v>45</v>
      </c>
      <c r="T11" s="60"/>
      <c r="U11" s="61"/>
      <c r="V11" s="66"/>
      <c r="W11" s="67"/>
      <c r="X11" s="67"/>
      <c r="Y11" s="67"/>
      <c r="Z11" s="67"/>
      <c r="AA11" s="67"/>
      <c r="AB11" s="67"/>
      <c r="AC11" s="67"/>
      <c r="AD11" s="67"/>
      <c r="AE11" s="68"/>
    </row>
    <row r="12" spans="1:31">
      <c r="A12" s="11">
        <f t="shared" ref="A12:A19" si="1">ROW()-9</f>
        <v>3</v>
      </c>
      <c r="B12" s="64" t="s">
        <v>65</v>
      </c>
      <c r="C12" s="64"/>
      <c r="D12" s="64"/>
      <c r="E12" s="64"/>
      <c r="F12" s="64" t="s">
        <v>73</v>
      </c>
      <c r="G12" s="64"/>
      <c r="H12" s="64"/>
      <c r="I12" s="64"/>
      <c r="J12" s="63" t="s">
        <v>66</v>
      </c>
      <c r="K12" s="63"/>
      <c r="L12" s="63"/>
      <c r="M12" s="65">
        <v>2</v>
      </c>
      <c r="N12" s="65"/>
      <c r="O12" s="65"/>
      <c r="P12" s="65"/>
      <c r="Q12" s="17"/>
      <c r="R12" s="20" t="s">
        <v>45</v>
      </c>
      <c r="S12" s="30" t="s">
        <v>45</v>
      </c>
      <c r="T12" s="60"/>
      <c r="U12" s="61"/>
      <c r="V12" s="66"/>
      <c r="W12" s="67"/>
      <c r="X12" s="67"/>
      <c r="Y12" s="67"/>
      <c r="Z12" s="67"/>
      <c r="AA12" s="67"/>
      <c r="AB12" s="67"/>
      <c r="AC12" s="67"/>
      <c r="AD12" s="67"/>
      <c r="AE12" s="68"/>
    </row>
    <row r="13" spans="1:31" ht="12" customHeight="1">
      <c r="A13" s="11">
        <f t="shared" si="1"/>
        <v>4</v>
      </c>
      <c r="B13" s="64" t="s">
        <v>71</v>
      </c>
      <c r="C13" s="64"/>
      <c r="D13" s="64"/>
      <c r="E13" s="64"/>
      <c r="F13" s="64" t="s">
        <v>74</v>
      </c>
      <c r="G13" s="64"/>
      <c r="H13" s="64"/>
      <c r="I13" s="64"/>
      <c r="J13" s="63" t="s">
        <v>66</v>
      </c>
      <c r="K13" s="63"/>
      <c r="L13" s="63"/>
      <c r="M13" s="65">
        <v>2</v>
      </c>
      <c r="N13" s="65"/>
      <c r="O13" s="65"/>
      <c r="P13" s="65"/>
      <c r="Q13" s="17"/>
      <c r="R13" s="20" t="s">
        <v>45</v>
      </c>
      <c r="S13" s="28" t="s">
        <v>109</v>
      </c>
      <c r="T13" s="60"/>
      <c r="U13" s="61"/>
      <c r="V13" s="66"/>
      <c r="W13" s="67"/>
      <c r="X13" s="67"/>
      <c r="Y13" s="67"/>
      <c r="Z13" s="67"/>
      <c r="AA13" s="67"/>
      <c r="AB13" s="67"/>
      <c r="AC13" s="67"/>
      <c r="AD13" s="67"/>
      <c r="AE13" s="68"/>
    </row>
    <row r="14" spans="1:31" ht="12" customHeight="1">
      <c r="A14" s="11">
        <f t="shared" si="1"/>
        <v>5</v>
      </c>
      <c r="B14" s="64" t="s">
        <v>107</v>
      </c>
      <c r="C14" s="64"/>
      <c r="D14" s="64"/>
      <c r="E14" s="64"/>
      <c r="F14" s="64" t="s">
        <v>108</v>
      </c>
      <c r="G14" s="64"/>
      <c r="H14" s="64"/>
      <c r="I14" s="64"/>
      <c r="J14" s="63" t="s">
        <v>44</v>
      </c>
      <c r="K14" s="63"/>
      <c r="L14" s="63"/>
      <c r="M14" s="65">
        <v>50</v>
      </c>
      <c r="N14" s="65"/>
      <c r="O14" s="60"/>
      <c r="P14" s="61"/>
      <c r="Q14" s="32"/>
      <c r="R14" s="32" t="s">
        <v>76</v>
      </c>
      <c r="S14" s="32"/>
      <c r="T14" s="60"/>
      <c r="U14" s="61"/>
      <c r="V14" s="66"/>
      <c r="W14" s="67"/>
      <c r="X14" s="67"/>
      <c r="Y14" s="67"/>
      <c r="Z14" s="67"/>
      <c r="AA14" s="67"/>
      <c r="AB14" s="67"/>
      <c r="AC14" s="67"/>
      <c r="AD14" s="67"/>
      <c r="AE14" s="68"/>
    </row>
    <row r="15" spans="1:31">
      <c r="A15" s="11">
        <f t="shared" si="1"/>
        <v>6</v>
      </c>
      <c r="B15" s="64" t="s">
        <v>43</v>
      </c>
      <c r="C15" s="64"/>
      <c r="D15" s="64"/>
      <c r="E15" s="64"/>
      <c r="F15" s="64" t="s">
        <v>50</v>
      </c>
      <c r="G15" s="64"/>
      <c r="H15" s="64"/>
      <c r="I15" s="64"/>
      <c r="J15" s="63" t="s">
        <v>44</v>
      </c>
      <c r="K15" s="63"/>
      <c r="L15" s="63"/>
      <c r="M15" s="65">
        <v>16</v>
      </c>
      <c r="N15" s="65"/>
      <c r="O15" s="65"/>
      <c r="P15" s="65"/>
      <c r="Q15" s="17"/>
      <c r="R15" s="17" t="s">
        <v>45</v>
      </c>
      <c r="S15" s="28"/>
      <c r="T15" s="60"/>
      <c r="U15" s="61"/>
      <c r="V15" s="66"/>
      <c r="W15" s="67"/>
      <c r="X15" s="67"/>
      <c r="Y15" s="67"/>
      <c r="Z15" s="67"/>
      <c r="AA15" s="67"/>
      <c r="AB15" s="67"/>
      <c r="AC15" s="67"/>
      <c r="AD15" s="67"/>
      <c r="AE15" s="68"/>
    </row>
    <row r="16" spans="1:31">
      <c r="A16" s="11">
        <f t="shared" si="1"/>
        <v>7</v>
      </c>
      <c r="B16" s="64" t="s">
        <v>42</v>
      </c>
      <c r="C16" s="64"/>
      <c r="D16" s="64"/>
      <c r="E16" s="64"/>
      <c r="F16" s="64" t="s">
        <v>51</v>
      </c>
      <c r="G16" s="64"/>
      <c r="H16" s="64"/>
      <c r="I16" s="64"/>
      <c r="J16" s="63" t="s">
        <v>52</v>
      </c>
      <c r="K16" s="63"/>
      <c r="L16" s="63"/>
      <c r="M16" s="65"/>
      <c r="N16" s="65"/>
      <c r="O16" s="65"/>
      <c r="P16" s="65"/>
      <c r="Q16" s="17"/>
      <c r="R16" s="17" t="s">
        <v>45</v>
      </c>
      <c r="S16" s="28"/>
      <c r="T16" s="60"/>
      <c r="U16" s="61"/>
      <c r="V16" s="66"/>
      <c r="W16" s="67"/>
      <c r="X16" s="67"/>
      <c r="Y16" s="67"/>
      <c r="Z16" s="67"/>
      <c r="AA16" s="67"/>
      <c r="AB16" s="67"/>
      <c r="AC16" s="67"/>
      <c r="AD16" s="67"/>
      <c r="AE16" s="68"/>
    </row>
    <row r="17" spans="1:31">
      <c r="A17" s="11">
        <f t="shared" si="1"/>
        <v>8</v>
      </c>
      <c r="B17" s="64" t="s">
        <v>53</v>
      </c>
      <c r="C17" s="64"/>
      <c r="D17" s="64"/>
      <c r="E17" s="64"/>
      <c r="F17" s="64" t="s">
        <v>54</v>
      </c>
      <c r="G17" s="64"/>
      <c r="H17" s="64"/>
      <c r="I17" s="64"/>
      <c r="J17" s="63" t="s">
        <v>44</v>
      </c>
      <c r="K17" s="63"/>
      <c r="L17" s="63"/>
      <c r="M17" s="65">
        <v>16</v>
      </c>
      <c r="N17" s="65"/>
      <c r="O17" s="65"/>
      <c r="P17" s="65"/>
      <c r="Q17" s="17"/>
      <c r="R17" s="17" t="s">
        <v>45</v>
      </c>
      <c r="S17" s="28"/>
      <c r="T17" s="60"/>
      <c r="U17" s="61"/>
      <c r="V17" s="66"/>
      <c r="W17" s="67"/>
      <c r="X17" s="67"/>
      <c r="Y17" s="67"/>
      <c r="Z17" s="67"/>
      <c r="AA17" s="67"/>
      <c r="AB17" s="67"/>
      <c r="AC17" s="67"/>
      <c r="AD17" s="67"/>
      <c r="AE17" s="68"/>
    </row>
    <row r="18" spans="1:31">
      <c r="A18" s="11">
        <f t="shared" si="1"/>
        <v>9</v>
      </c>
      <c r="B18" s="64" t="s">
        <v>56</v>
      </c>
      <c r="C18" s="64"/>
      <c r="D18" s="64"/>
      <c r="E18" s="64"/>
      <c r="F18" s="64" t="s">
        <v>57</v>
      </c>
      <c r="G18" s="64"/>
      <c r="H18" s="64"/>
      <c r="I18" s="64"/>
      <c r="J18" s="63" t="s">
        <v>52</v>
      </c>
      <c r="K18" s="63"/>
      <c r="L18" s="63"/>
      <c r="M18" s="65"/>
      <c r="N18" s="65"/>
      <c r="O18" s="65"/>
      <c r="P18" s="65"/>
      <c r="Q18" s="17"/>
      <c r="R18" s="17" t="s">
        <v>45</v>
      </c>
      <c r="S18" s="28"/>
      <c r="T18" s="60"/>
      <c r="U18" s="61"/>
      <c r="V18" s="66"/>
      <c r="W18" s="67"/>
      <c r="X18" s="67"/>
      <c r="Y18" s="67"/>
      <c r="Z18" s="67"/>
      <c r="AA18" s="67"/>
      <c r="AB18" s="67"/>
      <c r="AC18" s="67"/>
      <c r="AD18" s="67"/>
      <c r="AE18" s="68"/>
    </row>
    <row r="19" spans="1:31">
      <c r="A19" s="11">
        <f t="shared" si="1"/>
        <v>10</v>
      </c>
      <c r="B19" s="64" t="s">
        <v>58</v>
      </c>
      <c r="C19" s="64"/>
      <c r="D19" s="64"/>
      <c r="E19" s="64"/>
      <c r="F19" s="64" t="s">
        <v>59</v>
      </c>
      <c r="G19" s="64"/>
      <c r="H19" s="64"/>
      <c r="I19" s="64"/>
      <c r="J19" s="63" t="s">
        <v>41</v>
      </c>
      <c r="K19" s="63"/>
      <c r="L19" s="63"/>
      <c r="M19" s="65">
        <v>1</v>
      </c>
      <c r="N19" s="65"/>
      <c r="O19" s="65">
        <v>0</v>
      </c>
      <c r="P19" s="65"/>
      <c r="Q19" s="17"/>
      <c r="R19" s="17" t="s">
        <v>45</v>
      </c>
      <c r="S19" s="28"/>
      <c r="T19" s="60" t="s">
        <v>99</v>
      </c>
      <c r="U19" s="61"/>
      <c r="V19" s="66"/>
      <c r="W19" s="67"/>
      <c r="X19" s="67"/>
      <c r="Y19" s="67"/>
      <c r="Z19" s="67"/>
      <c r="AA19" s="67"/>
      <c r="AB19" s="67"/>
      <c r="AC19" s="67"/>
      <c r="AD19" s="67"/>
      <c r="AE19" s="68"/>
    </row>
  </sheetData>
  <mergeCells count="93">
    <mergeCell ref="T11:U11"/>
    <mergeCell ref="V11:AE11"/>
    <mergeCell ref="T19:U19"/>
    <mergeCell ref="V19:AE19"/>
    <mergeCell ref="T16:U16"/>
    <mergeCell ref="V16:AE16"/>
    <mergeCell ref="T17:U17"/>
    <mergeCell ref="V17:AE17"/>
    <mergeCell ref="T18:U18"/>
    <mergeCell ref="V18:AE18"/>
    <mergeCell ref="T12:U12"/>
    <mergeCell ref="V12:AE12"/>
    <mergeCell ref="T13:U13"/>
    <mergeCell ref="V13:AE13"/>
    <mergeCell ref="T15:U15"/>
    <mergeCell ref="V15:AE15"/>
    <mergeCell ref="T9:U9"/>
    <mergeCell ref="V9:AE9"/>
    <mergeCell ref="T10:U10"/>
    <mergeCell ref="V10:AE10"/>
    <mergeCell ref="M19:N19"/>
    <mergeCell ref="O19:P19"/>
    <mergeCell ref="M17:N17"/>
    <mergeCell ref="O17:P17"/>
    <mergeCell ref="M18:N18"/>
    <mergeCell ref="O18:P18"/>
    <mergeCell ref="M15:N15"/>
    <mergeCell ref="O15:P15"/>
    <mergeCell ref="M16:N16"/>
    <mergeCell ref="O16:P16"/>
    <mergeCell ref="M12:N12"/>
    <mergeCell ref="O12:P12"/>
    <mergeCell ref="M13:N13"/>
    <mergeCell ref="O13:P13"/>
    <mergeCell ref="M10:N10"/>
    <mergeCell ref="B10:E10"/>
    <mergeCell ref="F10:I10"/>
    <mergeCell ref="J10:L10"/>
    <mergeCell ref="B11:E11"/>
    <mergeCell ref="F11:I11"/>
    <mergeCell ref="J11:L11"/>
    <mergeCell ref="M11:N11"/>
    <mergeCell ref="O11:P11"/>
    <mergeCell ref="B13:E13"/>
    <mergeCell ref="F13:I13"/>
    <mergeCell ref="J13:L13"/>
    <mergeCell ref="AB1:AE1"/>
    <mergeCell ref="Q2:S2"/>
    <mergeCell ref="T2:X2"/>
    <mergeCell ref="Y2:AA2"/>
    <mergeCell ref="AB2:AE2"/>
    <mergeCell ref="A1:B2"/>
    <mergeCell ref="C1:P2"/>
    <mergeCell ref="Q1:S1"/>
    <mergeCell ref="T1:X1"/>
    <mergeCell ref="Y1:AA1"/>
    <mergeCell ref="A4:E4"/>
    <mergeCell ref="F4:AE4"/>
    <mergeCell ref="A5:E5"/>
    <mergeCell ref="F5:AE5"/>
    <mergeCell ref="A6:E6"/>
    <mergeCell ref="F6:AE6"/>
    <mergeCell ref="M9:N9"/>
    <mergeCell ref="O9:P9"/>
    <mergeCell ref="O10:P10"/>
    <mergeCell ref="B12:E12"/>
    <mergeCell ref="F12:I12"/>
    <mergeCell ref="J12:L12"/>
    <mergeCell ref="B9:E9"/>
    <mergeCell ref="F9:I9"/>
    <mergeCell ref="J9:L9"/>
    <mergeCell ref="B17:E17"/>
    <mergeCell ref="F17:I17"/>
    <mergeCell ref="J17:L17"/>
    <mergeCell ref="B16:E16"/>
    <mergeCell ref="F16:I16"/>
    <mergeCell ref="J16:L16"/>
    <mergeCell ref="B15:E15"/>
    <mergeCell ref="M14:N14"/>
    <mergeCell ref="O14:P14"/>
    <mergeCell ref="T14:U14"/>
    <mergeCell ref="V14:AE14"/>
    <mergeCell ref="F15:I15"/>
    <mergeCell ref="J15:L15"/>
    <mergeCell ref="B14:E14"/>
    <mergeCell ref="F14:I14"/>
    <mergeCell ref="J14:L14"/>
    <mergeCell ref="B19:E19"/>
    <mergeCell ref="F19:I19"/>
    <mergeCell ref="J19:L19"/>
    <mergeCell ref="B18:E18"/>
    <mergeCell ref="F18:I18"/>
    <mergeCell ref="J18:L18"/>
  </mergeCells>
  <phoneticPr fontId="3"/>
  <hyperlinks>
    <hyperlink ref="A8" location="テーブル一覧!A1" display="一覧に戻る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"/>
  <sheetViews>
    <sheetView showGridLines="0" view="pageBreakPreview" zoomScaleSheetLayoutView="100" workbookViewId="0">
      <selection sqref="A1:B2"/>
    </sheetView>
  </sheetViews>
  <sheetFormatPr defaultColWidth="3.875" defaultRowHeight="12"/>
  <cols>
    <col min="1" max="16384" width="3.875" style="6"/>
  </cols>
  <sheetData>
    <row r="1" spans="1:31" ht="18" customHeight="1">
      <c r="A1" s="51" t="s">
        <v>10</v>
      </c>
      <c r="B1" s="51"/>
      <c r="C1" s="52" t="str">
        <f>表紙!B3</f>
        <v>アビックトレーニング（仮）DB定義書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6" t="s">
        <v>12</v>
      </c>
      <c r="R1" s="46"/>
      <c r="S1" s="46"/>
      <c r="T1" s="45" t="s">
        <v>14</v>
      </c>
      <c r="U1" s="45"/>
      <c r="V1" s="45"/>
      <c r="W1" s="45"/>
      <c r="X1" s="45"/>
      <c r="Y1" s="46" t="s">
        <v>8</v>
      </c>
      <c r="Z1" s="46"/>
      <c r="AA1" s="46"/>
      <c r="AB1" s="47">
        <v>41973</v>
      </c>
      <c r="AC1" s="47"/>
      <c r="AD1" s="47"/>
      <c r="AE1" s="47"/>
    </row>
    <row r="2" spans="1:31" ht="18" customHeight="1">
      <c r="A2" s="5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6" t="s">
        <v>13</v>
      </c>
      <c r="R2" s="46"/>
      <c r="S2" s="46"/>
      <c r="T2" s="45"/>
      <c r="U2" s="45"/>
      <c r="V2" s="45"/>
      <c r="W2" s="45"/>
      <c r="X2" s="45"/>
      <c r="Y2" s="46" t="s">
        <v>9</v>
      </c>
      <c r="Z2" s="46"/>
      <c r="AA2" s="46"/>
      <c r="AB2" s="45"/>
      <c r="AC2" s="45"/>
      <c r="AD2" s="45"/>
      <c r="AE2" s="4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62" t="s">
        <v>29</v>
      </c>
      <c r="B4" s="62"/>
      <c r="C4" s="62"/>
      <c r="D4" s="62"/>
      <c r="E4" s="62"/>
      <c r="F4" s="54" t="str">
        <f>テーブル一覧!C13</f>
        <v>解答マスタ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6"/>
    </row>
    <row r="5" spans="1:31">
      <c r="A5" s="62" t="s">
        <v>30</v>
      </c>
      <c r="B5" s="62"/>
      <c r="C5" s="62"/>
      <c r="D5" s="62"/>
      <c r="E5" s="62"/>
      <c r="F5" s="54" t="str">
        <f>テーブル一覧!H13</f>
        <v>M_ANSWER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6"/>
    </row>
    <row r="6" spans="1:31">
      <c r="A6" s="62" t="s">
        <v>21</v>
      </c>
      <c r="B6" s="62"/>
      <c r="C6" s="62"/>
      <c r="D6" s="62"/>
      <c r="E6" s="62"/>
      <c r="F6" s="63" t="s">
        <v>81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</row>
    <row r="8" spans="1:31">
      <c r="A8" s="21" t="s">
        <v>92</v>
      </c>
    </row>
    <row r="9" spans="1:31" s="14" customFormat="1">
      <c r="A9" s="16" t="s">
        <v>19</v>
      </c>
      <c r="B9" s="51" t="s">
        <v>34</v>
      </c>
      <c r="C9" s="51"/>
      <c r="D9" s="51"/>
      <c r="E9" s="51"/>
      <c r="F9" s="51" t="s">
        <v>35</v>
      </c>
      <c r="G9" s="51"/>
      <c r="H9" s="51"/>
      <c r="I9" s="51"/>
      <c r="J9" s="51" t="s">
        <v>36</v>
      </c>
      <c r="K9" s="51"/>
      <c r="L9" s="51"/>
      <c r="M9" s="51" t="s">
        <v>37</v>
      </c>
      <c r="N9" s="51"/>
      <c r="O9" s="57" t="s">
        <v>20</v>
      </c>
      <c r="P9" s="59"/>
      <c r="Q9" s="16" t="s">
        <v>22</v>
      </c>
      <c r="R9" s="16" t="s">
        <v>40</v>
      </c>
      <c r="S9" s="27" t="s">
        <v>98</v>
      </c>
      <c r="T9" s="57" t="s">
        <v>100</v>
      </c>
      <c r="U9" s="59"/>
      <c r="V9" s="57" t="s">
        <v>21</v>
      </c>
      <c r="W9" s="58"/>
      <c r="X9" s="58"/>
      <c r="Y9" s="58"/>
      <c r="Z9" s="58"/>
      <c r="AA9" s="58"/>
      <c r="AB9" s="58"/>
      <c r="AC9" s="58"/>
      <c r="AD9" s="58"/>
      <c r="AE9" s="59"/>
    </row>
    <row r="10" spans="1:31">
      <c r="A10" s="11">
        <f>ROW()-9</f>
        <v>1</v>
      </c>
      <c r="B10" s="64" t="s">
        <v>105</v>
      </c>
      <c r="C10" s="64"/>
      <c r="D10" s="64"/>
      <c r="E10" s="64"/>
      <c r="F10" s="64" t="s">
        <v>106</v>
      </c>
      <c r="G10" s="64"/>
      <c r="H10" s="64"/>
      <c r="I10" s="64"/>
      <c r="J10" s="63" t="s">
        <v>66</v>
      </c>
      <c r="K10" s="63"/>
      <c r="L10" s="63"/>
      <c r="M10" s="60">
        <v>11</v>
      </c>
      <c r="N10" s="61"/>
      <c r="O10" s="60"/>
      <c r="P10" s="61"/>
      <c r="Q10" s="17">
        <v>1</v>
      </c>
      <c r="R10" s="28" t="s">
        <v>45</v>
      </c>
      <c r="S10" s="28"/>
      <c r="T10" s="60"/>
      <c r="U10" s="61"/>
      <c r="V10" s="54" t="s">
        <v>121</v>
      </c>
      <c r="W10" s="55"/>
      <c r="X10" s="55"/>
      <c r="Y10" s="55"/>
      <c r="Z10" s="55"/>
      <c r="AA10" s="55"/>
      <c r="AB10" s="55"/>
      <c r="AC10" s="55"/>
      <c r="AD10" s="55"/>
      <c r="AE10" s="56"/>
    </row>
    <row r="11" spans="1:31">
      <c r="A11" s="11">
        <f t="shared" ref="A11" si="0">ROW()-9</f>
        <v>2</v>
      </c>
      <c r="B11" s="64" t="s">
        <v>70</v>
      </c>
      <c r="C11" s="64"/>
      <c r="D11" s="64"/>
      <c r="E11" s="64"/>
      <c r="F11" s="64" t="s">
        <v>125</v>
      </c>
      <c r="G11" s="64"/>
      <c r="H11" s="64"/>
      <c r="I11" s="64"/>
      <c r="J11" s="63" t="s">
        <v>41</v>
      </c>
      <c r="K11" s="63"/>
      <c r="L11" s="63"/>
      <c r="M11" s="65">
        <v>2</v>
      </c>
      <c r="N11" s="65"/>
      <c r="O11" s="60"/>
      <c r="P11" s="61"/>
      <c r="Q11" s="31"/>
      <c r="R11" s="31" t="s">
        <v>45</v>
      </c>
      <c r="S11" s="31" t="s">
        <v>45</v>
      </c>
      <c r="T11" s="60"/>
      <c r="U11" s="61"/>
      <c r="V11" s="66"/>
      <c r="W11" s="67"/>
      <c r="X11" s="67"/>
      <c r="Y11" s="67"/>
      <c r="Z11" s="67"/>
      <c r="AA11" s="67"/>
      <c r="AB11" s="67"/>
      <c r="AC11" s="67"/>
      <c r="AD11" s="67"/>
      <c r="AE11" s="68"/>
    </row>
    <row r="12" spans="1:31">
      <c r="A12" s="11">
        <f t="shared" ref="A12:A19" si="1">ROW()-9</f>
        <v>3</v>
      </c>
      <c r="B12" s="64" t="s">
        <v>65</v>
      </c>
      <c r="C12" s="64"/>
      <c r="D12" s="64"/>
      <c r="E12" s="64"/>
      <c r="F12" s="64" t="s">
        <v>68</v>
      </c>
      <c r="G12" s="64"/>
      <c r="H12" s="64"/>
      <c r="I12" s="64"/>
      <c r="J12" s="63" t="s">
        <v>41</v>
      </c>
      <c r="K12" s="63"/>
      <c r="L12" s="63"/>
      <c r="M12" s="65">
        <v>2</v>
      </c>
      <c r="N12" s="65"/>
      <c r="O12" s="65"/>
      <c r="P12" s="65"/>
      <c r="Q12" s="30"/>
      <c r="R12" s="30" t="s">
        <v>45</v>
      </c>
      <c r="S12" s="30" t="s">
        <v>45</v>
      </c>
      <c r="T12" s="60"/>
      <c r="U12" s="61"/>
      <c r="V12" s="54"/>
      <c r="W12" s="55"/>
      <c r="X12" s="55"/>
      <c r="Y12" s="55"/>
      <c r="Z12" s="55"/>
      <c r="AA12" s="55"/>
      <c r="AB12" s="55"/>
      <c r="AC12" s="55"/>
      <c r="AD12" s="55"/>
      <c r="AE12" s="56"/>
    </row>
    <row r="13" spans="1:31" ht="12" customHeight="1">
      <c r="A13" s="11">
        <f t="shared" si="1"/>
        <v>4</v>
      </c>
      <c r="B13" s="64" t="s">
        <v>71</v>
      </c>
      <c r="C13" s="64"/>
      <c r="D13" s="64"/>
      <c r="E13" s="64"/>
      <c r="F13" s="64" t="s">
        <v>74</v>
      </c>
      <c r="G13" s="64"/>
      <c r="H13" s="64"/>
      <c r="I13" s="64"/>
      <c r="J13" s="63" t="s">
        <v>41</v>
      </c>
      <c r="K13" s="63"/>
      <c r="L13" s="63"/>
      <c r="M13" s="65">
        <v>2</v>
      </c>
      <c r="N13" s="65"/>
      <c r="O13" s="65"/>
      <c r="P13" s="65"/>
      <c r="Q13" s="30"/>
      <c r="R13" s="30" t="s">
        <v>45</v>
      </c>
      <c r="S13" s="30" t="s">
        <v>45</v>
      </c>
      <c r="T13" s="60"/>
      <c r="U13" s="61"/>
      <c r="V13" s="54"/>
      <c r="W13" s="55"/>
      <c r="X13" s="55"/>
      <c r="Y13" s="55"/>
      <c r="Z13" s="55"/>
      <c r="AA13" s="55"/>
      <c r="AB13" s="55"/>
      <c r="AC13" s="55"/>
      <c r="AD13" s="55"/>
      <c r="AE13" s="56"/>
    </row>
    <row r="14" spans="1:31">
      <c r="A14" s="11">
        <f t="shared" si="1"/>
        <v>5</v>
      </c>
      <c r="B14" s="64" t="s">
        <v>69</v>
      </c>
      <c r="C14" s="64"/>
      <c r="D14" s="64"/>
      <c r="E14" s="64"/>
      <c r="F14" s="64" t="s">
        <v>75</v>
      </c>
      <c r="G14" s="64"/>
      <c r="H14" s="64"/>
      <c r="I14" s="64"/>
      <c r="J14" s="63" t="s">
        <v>66</v>
      </c>
      <c r="K14" s="63"/>
      <c r="L14" s="63"/>
      <c r="M14" s="60">
        <v>9</v>
      </c>
      <c r="N14" s="61"/>
      <c r="O14" s="60"/>
      <c r="P14" s="61">
        <v>2</v>
      </c>
      <c r="Q14" s="17"/>
      <c r="R14" s="28" t="s">
        <v>45</v>
      </c>
      <c r="S14" s="30" t="s">
        <v>45</v>
      </c>
      <c r="T14" s="60"/>
      <c r="U14" s="61"/>
      <c r="V14" s="54"/>
      <c r="W14" s="55"/>
      <c r="X14" s="55"/>
      <c r="Y14" s="55"/>
      <c r="Z14" s="55"/>
      <c r="AA14" s="55"/>
      <c r="AB14" s="55"/>
      <c r="AC14" s="55"/>
      <c r="AD14" s="55"/>
      <c r="AE14" s="56"/>
    </row>
    <row r="15" spans="1:31">
      <c r="A15" s="11">
        <f t="shared" si="1"/>
        <v>6</v>
      </c>
      <c r="B15" s="64" t="s">
        <v>43</v>
      </c>
      <c r="C15" s="64"/>
      <c r="D15" s="64"/>
      <c r="E15" s="64"/>
      <c r="F15" s="64" t="s">
        <v>50</v>
      </c>
      <c r="G15" s="64"/>
      <c r="H15" s="64"/>
      <c r="I15" s="64"/>
      <c r="J15" s="63" t="s">
        <v>44</v>
      </c>
      <c r="K15" s="63"/>
      <c r="L15" s="63"/>
      <c r="M15" s="60">
        <v>16</v>
      </c>
      <c r="N15" s="61"/>
      <c r="O15" s="60"/>
      <c r="P15" s="61"/>
      <c r="Q15" s="17"/>
      <c r="R15" s="17" t="s">
        <v>45</v>
      </c>
      <c r="S15" s="28"/>
      <c r="T15" s="60"/>
      <c r="U15" s="61"/>
      <c r="V15" s="54"/>
      <c r="W15" s="55"/>
      <c r="X15" s="55"/>
      <c r="Y15" s="55"/>
      <c r="Z15" s="55"/>
      <c r="AA15" s="55"/>
      <c r="AB15" s="55"/>
      <c r="AC15" s="55"/>
      <c r="AD15" s="55"/>
      <c r="AE15" s="56"/>
    </row>
    <row r="16" spans="1:31">
      <c r="A16" s="11">
        <f t="shared" si="1"/>
        <v>7</v>
      </c>
      <c r="B16" s="64" t="s">
        <v>42</v>
      </c>
      <c r="C16" s="64"/>
      <c r="D16" s="64"/>
      <c r="E16" s="64"/>
      <c r="F16" s="64" t="s">
        <v>51</v>
      </c>
      <c r="G16" s="64"/>
      <c r="H16" s="64"/>
      <c r="I16" s="64"/>
      <c r="J16" s="63" t="s">
        <v>52</v>
      </c>
      <c r="K16" s="63"/>
      <c r="L16" s="63"/>
      <c r="M16" s="60"/>
      <c r="N16" s="61"/>
      <c r="O16" s="60"/>
      <c r="P16" s="61"/>
      <c r="Q16" s="17"/>
      <c r="R16" s="17" t="s">
        <v>45</v>
      </c>
      <c r="S16" s="28"/>
      <c r="T16" s="60"/>
      <c r="U16" s="61"/>
      <c r="V16" s="54"/>
      <c r="W16" s="55"/>
      <c r="X16" s="55"/>
      <c r="Y16" s="55"/>
      <c r="Z16" s="55"/>
      <c r="AA16" s="55"/>
      <c r="AB16" s="55"/>
      <c r="AC16" s="55"/>
      <c r="AD16" s="55"/>
      <c r="AE16" s="56"/>
    </row>
    <row r="17" spans="1:31">
      <c r="A17" s="11">
        <f t="shared" si="1"/>
        <v>8</v>
      </c>
      <c r="B17" s="64" t="s">
        <v>53</v>
      </c>
      <c r="C17" s="64"/>
      <c r="D17" s="64"/>
      <c r="E17" s="64"/>
      <c r="F17" s="64" t="s">
        <v>54</v>
      </c>
      <c r="G17" s="64"/>
      <c r="H17" s="64"/>
      <c r="I17" s="64"/>
      <c r="J17" s="63" t="s">
        <v>44</v>
      </c>
      <c r="K17" s="63"/>
      <c r="L17" s="63"/>
      <c r="M17" s="60">
        <v>16</v>
      </c>
      <c r="N17" s="61"/>
      <c r="O17" s="60"/>
      <c r="P17" s="61"/>
      <c r="Q17" s="17"/>
      <c r="R17" s="17" t="s">
        <v>45</v>
      </c>
      <c r="S17" s="28"/>
      <c r="T17" s="60"/>
      <c r="U17" s="61"/>
      <c r="V17" s="54"/>
      <c r="W17" s="55"/>
      <c r="X17" s="55"/>
      <c r="Y17" s="55"/>
      <c r="Z17" s="55"/>
      <c r="AA17" s="55"/>
      <c r="AB17" s="55"/>
      <c r="AC17" s="55"/>
      <c r="AD17" s="55"/>
      <c r="AE17" s="56"/>
    </row>
    <row r="18" spans="1:31">
      <c r="A18" s="11">
        <f t="shared" si="1"/>
        <v>9</v>
      </c>
      <c r="B18" s="64" t="s">
        <v>56</v>
      </c>
      <c r="C18" s="64"/>
      <c r="D18" s="64"/>
      <c r="E18" s="64"/>
      <c r="F18" s="64" t="s">
        <v>57</v>
      </c>
      <c r="G18" s="64"/>
      <c r="H18" s="64"/>
      <c r="I18" s="64"/>
      <c r="J18" s="63" t="s">
        <v>52</v>
      </c>
      <c r="K18" s="63"/>
      <c r="L18" s="63"/>
      <c r="M18" s="60"/>
      <c r="N18" s="61"/>
      <c r="O18" s="60"/>
      <c r="P18" s="61"/>
      <c r="Q18" s="17"/>
      <c r="R18" s="17" t="s">
        <v>45</v>
      </c>
      <c r="S18" s="28"/>
      <c r="T18" s="60"/>
      <c r="U18" s="61"/>
      <c r="V18" s="54"/>
      <c r="W18" s="55"/>
      <c r="X18" s="55"/>
      <c r="Y18" s="55"/>
      <c r="Z18" s="55"/>
      <c r="AA18" s="55"/>
      <c r="AB18" s="55"/>
      <c r="AC18" s="55"/>
      <c r="AD18" s="55"/>
      <c r="AE18" s="56"/>
    </row>
    <row r="19" spans="1:31">
      <c r="A19" s="11">
        <f t="shared" si="1"/>
        <v>10</v>
      </c>
      <c r="B19" s="64" t="s">
        <v>58</v>
      </c>
      <c r="C19" s="64"/>
      <c r="D19" s="64"/>
      <c r="E19" s="64"/>
      <c r="F19" s="64" t="s">
        <v>59</v>
      </c>
      <c r="G19" s="64"/>
      <c r="H19" s="64"/>
      <c r="I19" s="64"/>
      <c r="J19" s="63" t="s">
        <v>41</v>
      </c>
      <c r="K19" s="63"/>
      <c r="L19" s="63"/>
      <c r="M19" s="65">
        <v>1</v>
      </c>
      <c r="N19" s="65"/>
      <c r="O19" s="65">
        <v>0</v>
      </c>
      <c r="P19" s="65"/>
      <c r="Q19" s="28"/>
      <c r="R19" s="28" t="s">
        <v>45</v>
      </c>
      <c r="S19" s="28"/>
      <c r="T19" s="60" t="s">
        <v>99</v>
      </c>
      <c r="U19" s="61"/>
      <c r="V19" s="54"/>
      <c r="W19" s="55"/>
      <c r="X19" s="55"/>
      <c r="Y19" s="55"/>
      <c r="Z19" s="55"/>
      <c r="AA19" s="55"/>
      <c r="AB19" s="55"/>
      <c r="AC19" s="55"/>
      <c r="AD19" s="55"/>
      <c r="AE19" s="56"/>
    </row>
  </sheetData>
  <mergeCells count="93">
    <mergeCell ref="T11:U11"/>
    <mergeCell ref="V11:AE11"/>
    <mergeCell ref="B11:E11"/>
    <mergeCell ref="F11:I11"/>
    <mergeCell ref="J11:L11"/>
    <mergeCell ref="M11:N11"/>
    <mergeCell ref="O11:P11"/>
    <mergeCell ref="M12:N12"/>
    <mergeCell ref="O12:P12"/>
    <mergeCell ref="T12:U12"/>
    <mergeCell ref="V12:AE12"/>
    <mergeCell ref="B13:E13"/>
    <mergeCell ref="F13:I13"/>
    <mergeCell ref="J13:L13"/>
    <mergeCell ref="M13:N13"/>
    <mergeCell ref="O13:P13"/>
    <mergeCell ref="T13:U13"/>
    <mergeCell ref="V13:AE13"/>
    <mergeCell ref="B12:E12"/>
    <mergeCell ref="F12:I12"/>
    <mergeCell ref="J12:L12"/>
    <mergeCell ref="V18:AE18"/>
    <mergeCell ref="T19:U19"/>
    <mergeCell ref="V19:AE19"/>
    <mergeCell ref="M16:N16"/>
    <mergeCell ref="O16:P16"/>
    <mergeCell ref="M17:N17"/>
    <mergeCell ref="O17:P17"/>
    <mergeCell ref="T16:U16"/>
    <mergeCell ref="V16:AE16"/>
    <mergeCell ref="T17:U17"/>
    <mergeCell ref="V17:AE17"/>
    <mergeCell ref="M18:N18"/>
    <mergeCell ref="O18:P18"/>
    <mergeCell ref="M19:N19"/>
    <mergeCell ref="O19:P19"/>
    <mergeCell ref="T18:U18"/>
    <mergeCell ref="V14:AE14"/>
    <mergeCell ref="T15:U15"/>
    <mergeCell ref="V15:AE15"/>
    <mergeCell ref="M9:N9"/>
    <mergeCell ref="O9:P9"/>
    <mergeCell ref="O10:P10"/>
    <mergeCell ref="M10:N10"/>
    <mergeCell ref="T9:U9"/>
    <mergeCell ref="V9:AE9"/>
    <mergeCell ref="T10:U10"/>
    <mergeCell ref="V10:AE10"/>
    <mergeCell ref="M14:N14"/>
    <mergeCell ref="O14:P14"/>
    <mergeCell ref="M15:N15"/>
    <mergeCell ref="O15:P15"/>
    <mergeCell ref="T14:U14"/>
    <mergeCell ref="B18:E18"/>
    <mergeCell ref="F18:I18"/>
    <mergeCell ref="J18:L18"/>
    <mergeCell ref="B19:E19"/>
    <mergeCell ref="F19:I19"/>
    <mergeCell ref="J19:L19"/>
    <mergeCell ref="B16:E16"/>
    <mergeCell ref="F16:I16"/>
    <mergeCell ref="J16:L16"/>
    <mergeCell ref="B17:E17"/>
    <mergeCell ref="F17:I17"/>
    <mergeCell ref="J17:L17"/>
    <mergeCell ref="B15:E15"/>
    <mergeCell ref="F15:I15"/>
    <mergeCell ref="J15:L15"/>
    <mergeCell ref="B14:E14"/>
    <mergeCell ref="F14:I14"/>
    <mergeCell ref="J14:L14"/>
    <mergeCell ref="B9:E9"/>
    <mergeCell ref="F9:I9"/>
    <mergeCell ref="J9:L9"/>
    <mergeCell ref="B10:E10"/>
    <mergeCell ref="F10:I10"/>
    <mergeCell ref="J10:L10"/>
    <mergeCell ref="A4:E4"/>
    <mergeCell ref="F4:AE4"/>
    <mergeCell ref="A5:E5"/>
    <mergeCell ref="F5:AE5"/>
    <mergeCell ref="A6:E6"/>
    <mergeCell ref="F6:AE6"/>
    <mergeCell ref="A1:B2"/>
    <mergeCell ref="C1:P2"/>
    <mergeCell ref="Q1:S1"/>
    <mergeCell ref="T1:X1"/>
    <mergeCell ref="Y1:AA1"/>
    <mergeCell ref="AB1:AE1"/>
    <mergeCell ref="Q2:S2"/>
    <mergeCell ref="T2:X2"/>
    <mergeCell ref="Y2:AA2"/>
    <mergeCell ref="AB2:AE2"/>
  </mergeCells>
  <phoneticPr fontId="3"/>
  <hyperlinks>
    <hyperlink ref="A8" location="テーブル一覧!A1" display="一覧に戻る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showGridLines="0" view="pageBreakPreview" zoomScaleSheetLayoutView="100" workbookViewId="0">
      <selection sqref="A1:B2"/>
    </sheetView>
  </sheetViews>
  <sheetFormatPr defaultColWidth="3.875" defaultRowHeight="12"/>
  <cols>
    <col min="1" max="16384" width="3.875" style="6"/>
  </cols>
  <sheetData>
    <row r="1" spans="1:31" ht="18" customHeight="1">
      <c r="A1" s="51" t="s">
        <v>10</v>
      </c>
      <c r="B1" s="51"/>
      <c r="C1" s="52" t="str">
        <f>表紙!B3</f>
        <v>アビックトレーニング（仮）DB定義書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6" t="s">
        <v>12</v>
      </c>
      <c r="R1" s="46"/>
      <c r="S1" s="46"/>
      <c r="T1" s="45" t="s">
        <v>14</v>
      </c>
      <c r="U1" s="45"/>
      <c r="V1" s="45"/>
      <c r="W1" s="45"/>
      <c r="X1" s="45"/>
      <c r="Y1" s="46" t="s">
        <v>8</v>
      </c>
      <c r="Z1" s="46"/>
      <c r="AA1" s="46"/>
      <c r="AB1" s="47">
        <v>41973</v>
      </c>
      <c r="AC1" s="47"/>
      <c r="AD1" s="47"/>
      <c r="AE1" s="47"/>
    </row>
    <row r="2" spans="1:31" ht="18" customHeight="1">
      <c r="A2" s="5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6" t="s">
        <v>13</v>
      </c>
      <c r="R2" s="46"/>
      <c r="S2" s="46"/>
      <c r="T2" s="45"/>
      <c r="U2" s="45"/>
      <c r="V2" s="45"/>
      <c r="W2" s="45"/>
      <c r="X2" s="45"/>
      <c r="Y2" s="46" t="s">
        <v>9</v>
      </c>
      <c r="Z2" s="46"/>
      <c r="AA2" s="46"/>
      <c r="AB2" s="45"/>
      <c r="AC2" s="45"/>
      <c r="AD2" s="45"/>
      <c r="AE2" s="4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62" t="s">
        <v>29</v>
      </c>
      <c r="B4" s="62"/>
      <c r="C4" s="62"/>
      <c r="D4" s="62"/>
      <c r="E4" s="62"/>
      <c r="F4" s="54" t="str">
        <f>テーブル一覧!C14</f>
        <v>ユーザ参照権限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6"/>
    </row>
    <row r="5" spans="1:31">
      <c r="A5" s="62" t="s">
        <v>30</v>
      </c>
      <c r="B5" s="62"/>
      <c r="C5" s="62"/>
      <c r="D5" s="62"/>
      <c r="E5" s="62"/>
      <c r="F5" s="54" t="str">
        <f>テーブル一覧!H14</f>
        <v>T_USER_AUTHORITY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6"/>
    </row>
    <row r="6" spans="1:31">
      <c r="A6" s="62" t="s">
        <v>21</v>
      </c>
      <c r="B6" s="62"/>
      <c r="C6" s="62"/>
      <c r="D6" s="62"/>
      <c r="E6" s="62"/>
      <c r="F6" s="63" t="s">
        <v>81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</row>
    <row r="8" spans="1:31">
      <c r="A8" s="21" t="s">
        <v>92</v>
      </c>
    </row>
    <row r="9" spans="1:31" s="14" customFormat="1">
      <c r="A9" s="18" t="s">
        <v>19</v>
      </c>
      <c r="B9" s="51" t="s">
        <v>34</v>
      </c>
      <c r="C9" s="51"/>
      <c r="D9" s="51"/>
      <c r="E9" s="51"/>
      <c r="F9" s="51" t="s">
        <v>35</v>
      </c>
      <c r="G9" s="51"/>
      <c r="H9" s="51"/>
      <c r="I9" s="51"/>
      <c r="J9" s="51" t="s">
        <v>36</v>
      </c>
      <c r="K9" s="51"/>
      <c r="L9" s="51"/>
      <c r="M9" s="51" t="s">
        <v>37</v>
      </c>
      <c r="N9" s="51"/>
      <c r="O9" s="57" t="s">
        <v>20</v>
      </c>
      <c r="P9" s="59"/>
      <c r="Q9" s="18" t="s">
        <v>22</v>
      </c>
      <c r="R9" s="18" t="s">
        <v>40</v>
      </c>
      <c r="S9" s="29" t="s">
        <v>98</v>
      </c>
      <c r="T9" s="57" t="s">
        <v>100</v>
      </c>
      <c r="U9" s="59"/>
      <c r="V9" s="57" t="s">
        <v>21</v>
      </c>
      <c r="W9" s="58"/>
      <c r="X9" s="58"/>
      <c r="Y9" s="58"/>
      <c r="Z9" s="58"/>
      <c r="AA9" s="58"/>
      <c r="AB9" s="58"/>
      <c r="AC9" s="58"/>
      <c r="AD9" s="58"/>
      <c r="AE9" s="59"/>
    </row>
    <row r="10" spans="1:31">
      <c r="A10" s="11">
        <f>ROW()-9</f>
        <v>1</v>
      </c>
      <c r="B10" s="64" t="s">
        <v>62</v>
      </c>
      <c r="C10" s="64"/>
      <c r="D10" s="64"/>
      <c r="E10" s="64"/>
      <c r="F10" s="64" t="s">
        <v>83</v>
      </c>
      <c r="G10" s="64"/>
      <c r="H10" s="64"/>
      <c r="I10" s="64"/>
      <c r="J10" s="63" t="s">
        <v>44</v>
      </c>
      <c r="K10" s="63"/>
      <c r="L10" s="63"/>
      <c r="M10" s="65">
        <v>16</v>
      </c>
      <c r="N10" s="65"/>
      <c r="O10" s="60"/>
      <c r="P10" s="61"/>
      <c r="Q10" s="20">
        <v>1</v>
      </c>
      <c r="R10" s="30" t="s">
        <v>45</v>
      </c>
      <c r="S10" s="30" t="s">
        <v>110</v>
      </c>
      <c r="T10" s="60"/>
      <c r="U10" s="61"/>
      <c r="V10" s="54"/>
      <c r="W10" s="55"/>
      <c r="X10" s="55"/>
      <c r="Y10" s="55"/>
      <c r="Z10" s="55"/>
      <c r="AA10" s="55"/>
      <c r="AB10" s="55"/>
      <c r="AC10" s="55"/>
      <c r="AD10" s="55"/>
      <c r="AE10" s="56"/>
    </row>
    <row r="11" spans="1:31">
      <c r="A11" s="11">
        <f t="shared" ref="A11:A16" si="0">ROW()-9</f>
        <v>2</v>
      </c>
      <c r="B11" s="64" t="s">
        <v>70</v>
      </c>
      <c r="C11" s="64"/>
      <c r="D11" s="64"/>
      <c r="E11" s="64"/>
      <c r="F11" s="64" t="s">
        <v>125</v>
      </c>
      <c r="G11" s="64"/>
      <c r="H11" s="64"/>
      <c r="I11" s="64"/>
      <c r="J11" s="63" t="s">
        <v>41</v>
      </c>
      <c r="K11" s="63"/>
      <c r="L11" s="63"/>
      <c r="M11" s="65">
        <v>2</v>
      </c>
      <c r="N11" s="65"/>
      <c r="O11" s="60"/>
      <c r="P11" s="61"/>
      <c r="Q11" s="20">
        <v>2</v>
      </c>
      <c r="R11" s="30" t="s">
        <v>45</v>
      </c>
      <c r="S11" s="30" t="s">
        <v>110</v>
      </c>
      <c r="T11" s="60"/>
      <c r="U11" s="61"/>
      <c r="V11" s="54"/>
      <c r="W11" s="55"/>
      <c r="X11" s="55"/>
      <c r="Y11" s="55"/>
      <c r="Z11" s="55"/>
      <c r="AA11" s="55"/>
      <c r="AB11" s="55"/>
      <c r="AC11" s="55"/>
      <c r="AD11" s="55"/>
      <c r="AE11" s="56"/>
    </row>
    <row r="12" spans="1:31">
      <c r="A12" s="11">
        <f t="shared" si="0"/>
        <v>3</v>
      </c>
      <c r="B12" s="64" t="s">
        <v>43</v>
      </c>
      <c r="C12" s="64"/>
      <c r="D12" s="64"/>
      <c r="E12" s="64"/>
      <c r="F12" s="64" t="s">
        <v>50</v>
      </c>
      <c r="G12" s="64"/>
      <c r="H12" s="64"/>
      <c r="I12" s="64"/>
      <c r="J12" s="63" t="s">
        <v>44</v>
      </c>
      <c r="K12" s="63"/>
      <c r="L12" s="63"/>
      <c r="M12" s="60">
        <v>16</v>
      </c>
      <c r="N12" s="61"/>
      <c r="O12" s="60"/>
      <c r="P12" s="61"/>
      <c r="Q12" s="20"/>
      <c r="R12" s="20" t="s">
        <v>45</v>
      </c>
      <c r="S12" s="30"/>
      <c r="T12" s="60"/>
      <c r="U12" s="61"/>
      <c r="V12" s="54"/>
      <c r="W12" s="55"/>
      <c r="X12" s="55"/>
      <c r="Y12" s="55"/>
      <c r="Z12" s="55"/>
      <c r="AA12" s="55"/>
      <c r="AB12" s="55"/>
      <c r="AC12" s="55"/>
      <c r="AD12" s="55"/>
      <c r="AE12" s="56"/>
    </row>
    <row r="13" spans="1:31">
      <c r="A13" s="11">
        <f t="shared" si="0"/>
        <v>4</v>
      </c>
      <c r="B13" s="64" t="s">
        <v>42</v>
      </c>
      <c r="C13" s="64"/>
      <c r="D13" s="64"/>
      <c r="E13" s="64"/>
      <c r="F13" s="64" t="s">
        <v>51</v>
      </c>
      <c r="G13" s="64"/>
      <c r="H13" s="64"/>
      <c r="I13" s="64"/>
      <c r="J13" s="63" t="s">
        <v>52</v>
      </c>
      <c r="K13" s="63"/>
      <c r="L13" s="63"/>
      <c r="M13" s="60"/>
      <c r="N13" s="61"/>
      <c r="O13" s="60"/>
      <c r="P13" s="61"/>
      <c r="Q13" s="20"/>
      <c r="R13" s="20" t="s">
        <v>45</v>
      </c>
      <c r="S13" s="30"/>
      <c r="T13" s="60"/>
      <c r="U13" s="61"/>
      <c r="V13" s="54"/>
      <c r="W13" s="55"/>
      <c r="X13" s="55"/>
      <c r="Y13" s="55"/>
      <c r="Z13" s="55"/>
      <c r="AA13" s="55"/>
      <c r="AB13" s="55"/>
      <c r="AC13" s="55"/>
      <c r="AD13" s="55"/>
      <c r="AE13" s="56"/>
    </row>
    <row r="14" spans="1:31">
      <c r="A14" s="11">
        <f t="shared" si="0"/>
        <v>5</v>
      </c>
      <c r="B14" s="64" t="s">
        <v>53</v>
      </c>
      <c r="C14" s="64"/>
      <c r="D14" s="64"/>
      <c r="E14" s="64"/>
      <c r="F14" s="64" t="s">
        <v>54</v>
      </c>
      <c r="G14" s="64"/>
      <c r="H14" s="64"/>
      <c r="I14" s="64"/>
      <c r="J14" s="63" t="s">
        <v>44</v>
      </c>
      <c r="K14" s="63"/>
      <c r="L14" s="63"/>
      <c r="M14" s="60">
        <v>16</v>
      </c>
      <c r="N14" s="61"/>
      <c r="O14" s="60"/>
      <c r="P14" s="61"/>
      <c r="Q14" s="20"/>
      <c r="R14" s="20" t="s">
        <v>45</v>
      </c>
      <c r="S14" s="30"/>
      <c r="T14" s="60"/>
      <c r="U14" s="61"/>
      <c r="V14" s="54"/>
      <c r="W14" s="55"/>
      <c r="X14" s="55"/>
      <c r="Y14" s="55"/>
      <c r="Z14" s="55"/>
      <c r="AA14" s="55"/>
      <c r="AB14" s="55"/>
      <c r="AC14" s="55"/>
      <c r="AD14" s="55"/>
      <c r="AE14" s="56"/>
    </row>
    <row r="15" spans="1:31">
      <c r="A15" s="11">
        <f t="shared" si="0"/>
        <v>6</v>
      </c>
      <c r="B15" s="64" t="s">
        <v>56</v>
      </c>
      <c r="C15" s="64"/>
      <c r="D15" s="64"/>
      <c r="E15" s="64"/>
      <c r="F15" s="64" t="s">
        <v>57</v>
      </c>
      <c r="G15" s="64"/>
      <c r="H15" s="64"/>
      <c r="I15" s="64"/>
      <c r="J15" s="63" t="s">
        <v>52</v>
      </c>
      <c r="K15" s="63"/>
      <c r="L15" s="63"/>
      <c r="M15" s="60"/>
      <c r="N15" s="61"/>
      <c r="O15" s="60"/>
      <c r="P15" s="61"/>
      <c r="Q15" s="20"/>
      <c r="R15" s="20" t="s">
        <v>45</v>
      </c>
      <c r="S15" s="30"/>
      <c r="T15" s="60"/>
      <c r="U15" s="61"/>
      <c r="V15" s="54"/>
      <c r="W15" s="55"/>
      <c r="X15" s="55"/>
      <c r="Y15" s="55"/>
      <c r="Z15" s="55"/>
      <c r="AA15" s="55"/>
      <c r="AB15" s="55"/>
      <c r="AC15" s="55"/>
      <c r="AD15" s="55"/>
      <c r="AE15" s="56"/>
    </row>
    <row r="16" spans="1:31">
      <c r="A16" s="11">
        <f t="shared" si="0"/>
        <v>7</v>
      </c>
      <c r="B16" s="64" t="s">
        <v>58</v>
      </c>
      <c r="C16" s="64"/>
      <c r="D16" s="64"/>
      <c r="E16" s="64"/>
      <c r="F16" s="64" t="s">
        <v>59</v>
      </c>
      <c r="G16" s="64"/>
      <c r="H16" s="64"/>
      <c r="I16" s="64"/>
      <c r="J16" s="63" t="s">
        <v>41</v>
      </c>
      <c r="K16" s="63"/>
      <c r="L16" s="63"/>
      <c r="M16" s="60">
        <v>1</v>
      </c>
      <c r="N16" s="61">
        <v>0</v>
      </c>
      <c r="O16" s="60">
        <v>0</v>
      </c>
      <c r="P16" s="61"/>
      <c r="Q16" s="20"/>
      <c r="R16" s="20" t="s">
        <v>45</v>
      </c>
      <c r="S16" s="30"/>
      <c r="T16" s="60" t="s">
        <v>99</v>
      </c>
      <c r="U16" s="61"/>
      <c r="V16" s="54"/>
      <c r="W16" s="55"/>
      <c r="X16" s="55"/>
      <c r="Y16" s="55"/>
      <c r="Z16" s="55"/>
      <c r="AA16" s="55"/>
      <c r="AB16" s="55"/>
      <c r="AC16" s="55"/>
      <c r="AD16" s="55"/>
      <c r="AE16" s="56"/>
    </row>
  </sheetData>
  <mergeCells count="72">
    <mergeCell ref="AB1:AE1"/>
    <mergeCell ref="Q2:S2"/>
    <mergeCell ref="T2:X2"/>
    <mergeCell ref="Y2:AA2"/>
    <mergeCell ref="AB2:AE2"/>
    <mergeCell ref="A1:B2"/>
    <mergeCell ref="C1:P2"/>
    <mergeCell ref="Q1:S1"/>
    <mergeCell ref="T1:X1"/>
    <mergeCell ref="Y1:AA1"/>
    <mergeCell ref="A4:E4"/>
    <mergeCell ref="F4:AE4"/>
    <mergeCell ref="A5:E5"/>
    <mergeCell ref="F5:AE5"/>
    <mergeCell ref="A6:E6"/>
    <mergeCell ref="F6:AE6"/>
    <mergeCell ref="B9:E9"/>
    <mergeCell ref="F9:I9"/>
    <mergeCell ref="J9:L9"/>
    <mergeCell ref="M9:N9"/>
    <mergeCell ref="O9:P9"/>
    <mergeCell ref="T9:U9"/>
    <mergeCell ref="V9:AE9"/>
    <mergeCell ref="T10:U10"/>
    <mergeCell ref="V10:AE10"/>
    <mergeCell ref="B11:E11"/>
    <mergeCell ref="F11:I11"/>
    <mergeCell ref="J11:L11"/>
    <mergeCell ref="M11:N11"/>
    <mergeCell ref="O11:P11"/>
    <mergeCell ref="T11:U11"/>
    <mergeCell ref="V11:AE11"/>
    <mergeCell ref="B10:E10"/>
    <mergeCell ref="F10:I10"/>
    <mergeCell ref="J10:L10"/>
    <mergeCell ref="M10:N10"/>
    <mergeCell ref="O10:P10"/>
    <mergeCell ref="T12:U12"/>
    <mergeCell ref="V12:AE12"/>
    <mergeCell ref="B13:E13"/>
    <mergeCell ref="F13:I13"/>
    <mergeCell ref="J13:L13"/>
    <mergeCell ref="M13:N13"/>
    <mergeCell ref="O13:P13"/>
    <mergeCell ref="T13:U13"/>
    <mergeCell ref="V13:AE13"/>
    <mergeCell ref="B12:E12"/>
    <mergeCell ref="F12:I12"/>
    <mergeCell ref="J12:L12"/>
    <mergeCell ref="M12:N12"/>
    <mergeCell ref="O12:P12"/>
    <mergeCell ref="T14:U14"/>
    <mergeCell ref="V14:AE14"/>
    <mergeCell ref="B15:E15"/>
    <mergeCell ref="F15:I15"/>
    <mergeCell ref="J15:L15"/>
    <mergeCell ref="M15:N15"/>
    <mergeCell ref="O15:P15"/>
    <mergeCell ref="B14:E14"/>
    <mergeCell ref="F14:I14"/>
    <mergeCell ref="J14:L14"/>
    <mergeCell ref="M14:N14"/>
    <mergeCell ref="O14:P14"/>
    <mergeCell ref="T16:U16"/>
    <mergeCell ref="V16:AE16"/>
    <mergeCell ref="T15:U15"/>
    <mergeCell ref="V15:AE15"/>
    <mergeCell ref="B16:E16"/>
    <mergeCell ref="F16:I16"/>
    <mergeCell ref="J16:L16"/>
    <mergeCell ref="M16:N16"/>
    <mergeCell ref="O16:P16"/>
  </mergeCells>
  <phoneticPr fontId="3"/>
  <hyperlinks>
    <hyperlink ref="A8" location="テーブル一覧!A1" display="一覧に戻る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showGridLines="0" view="pageBreakPreview" zoomScaleSheetLayoutView="100" workbookViewId="0">
      <selection activeCell="J16" sqref="J16:L18"/>
    </sheetView>
  </sheetViews>
  <sheetFormatPr defaultColWidth="3.875" defaultRowHeight="12"/>
  <cols>
    <col min="1" max="16384" width="3.875" style="6"/>
  </cols>
  <sheetData>
    <row r="1" spans="1:31" ht="18" customHeight="1">
      <c r="A1" s="51" t="s">
        <v>10</v>
      </c>
      <c r="B1" s="51"/>
      <c r="C1" s="52" t="str">
        <f>表紙!B3</f>
        <v>アビックトレーニング（仮）DB定義書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6" t="s">
        <v>12</v>
      </c>
      <c r="R1" s="46"/>
      <c r="S1" s="46"/>
      <c r="T1" s="45" t="s">
        <v>14</v>
      </c>
      <c r="U1" s="45"/>
      <c r="V1" s="45"/>
      <c r="W1" s="45"/>
      <c r="X1" s="45"/>
      <c r="Y1" s="46" t="s">
        <v>8</v>
      </c>
      <c r="Z1" s="46"/>
      <c r="AA1" s="46"/>
      <c r="AB1" s="47">
        <v>41973</v>
      </c>
      <c r="AC1" s="47"/>
      <c r="AD1" s="47"/>
      <c r="AE1" s="47"/>
    </row>
    <row r="2" spans="1:31" ht="18" customHeight="1">
      <c r="A2" s="5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6" t="s">
        <v>13</v>
      </c>
      <c r="R2" s="46"/>
      <c r="S2" s="46"/>
      <c r="T2" s="45"/>
      <c r="U2" s="45"/>
      <c r="V2" s="45"/>
      <c r="W2" s="45"/>
      <c r="X2" s="45"/>
      <c r="Y2" s="46" t="s">
        <v>9</v>
      </c>
      <c r="Z2" s="46"/>
      <c r="AA2" s="46"/>
      <c r="AB2" s="45"/>
      <c r="AC2" s="45"/>
      <c r="AD2" s="45"/>
      <c r="AE2" s="4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62" t="s">
        <v>29</v>
      </c>
      <c r="B4" s="62"/>
      <c r="C4" s="62"/>
      <c r="D4" s="62"/>
      <c r="E4" s="62"/>
      <c r="F4" s="54" t="str">
        <f>テーブル一覧!C15</f>
        <v>成績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6"/>
    </row>
    <row r="5" spans="1:31">
      <c r="A5" s="62" t="s">
        <v>30</v>
      </c>
      <c r="B5" s="62"/>
      <c r="C5" s="62"/>
      <c r="D5" s="62"/>
      <c r="E5" s="62"/>
      <c r="F5" s="54" t="str">
        <f>テーブル一覧!H15</f>
        <v>T_SCORE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6"/>
    </row>
    <row r="6" spans="1:31">
      <c r="A6" s="62" t="s">
        <v>21</v>
      </c>
      <c r="B6" s="62"/>
      <c r="C6" s="62"/>
      <c r="D6" s="62"/>
      <c r="E6" s="62"/>
      <c r="F6" s="63" t="s">
        <v>124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</row>
    <row r="8" spans="1:31">
      <c r="A8" s="21" t="s">
        <v>92</v>
      </c>
    </row>
    <row r="9" spans="1:31" s="14" customFormat="1">
      <c r="A9" s="18" t="s">
        <v>19</v>
      </c>
      <c r="B9" s="51" t="s">
        <v>34</v>
      </c>
      <c r="C9" s="51"/>
      <c r="D9" s="51"/>
      <c r="E9" s="51"/>
      <c r="F9" s="51" t="s">
        <v>35</v>
      </c>
      <c r="G9" s="51"/>
      <c r="H9" s="51"/>
      <c r="I9" s="51"/>
      <c r="J9" s="51" t="s">
        <v>36</v>
      </c>
      <c r="K9" s="51"/>
      <c r="L9" s="51"/>
      <c r="M9" s="51" t="s">
        <v>37</v>
      </c>
      <c r="N9" s="51"/>
      <c r="O9" s="57" t="s">
        <v>20</v>
      </c>
      <c r="P9" s="59"/>
      <c r="Q9" s="18" t="s">
        <v>22</v>
      </c>
      <c r="R9" s="18" t="s">
        <v>40</v>
      </c>
      <c r="S9" s="29" t="s">
        <v>98</v>
      </c>
      <c r="T9" s="57" t="s">
        <v>100</v>
      </c>
      <c r="U9" s="59"/>
      <c r="V9" s="57" t="s">
        <v>21</v>
      </c>
      <c r="W9" s="58"/>
      <c r="X9" s="58"/>
      <c r="Y9" s="58"/>
      <c r="Z9" s="58"/>
      <c r="AA9" s="58"/>
      <c r="AB9" s="58"/>
      <c r="AC9" s="58"/>
      <c r="AD9" s="58"/>
      <c r="AE9" s="59"/>
    </row>
    <row r="10" spans="1:31">
      <c r="A10" s="11">
        <f>ROW()-9</f>
        <v>1</v>
      </c>
      <c r="B10" s="64" t="s">
        <v>134</v>
      </c>
      <c r="C10" s="64"/>
      <c r="D10" s="64"/>
      <c r="E10" s="64"/>
      <c r="F10" s="64" t="s">
        <v>133</v>
      </c>
      <c r="G10" s="64"/>
      <c r="H10" s="64"/>
      <c r="I10" s="64"/>
      <c r="J10" s="63" t="s">
        <v>135</v>
      </c>
      <c r="K10" s="63"/>
      <c r="L10" s="63"/>
      <c r="M10" s="65"/>
      <c r="N10" s="65"/>
      <c r="O10" s="60"/>
      <c r="P10" s="61"/>
      <c r="Q10" s="32">
        <v>1</v>
      </c>
      <c r="R10" s="32" t="s">
        <v>45</v>
      </c>
      <c r="S10" s="32" t="s">
        <v>104</v>
      </c>
      <c r="T10" s="60"/>
      <c r="U10" s="61"/>
      <c r="V10" s="54"/>
      <c r="W10" s="55"/>
      <c r="X10" s="55"/>
      <c r="Y10" s="55"/>
      <c r="Z10" s="55"/>
      <c r="AA10" s="55"/>
      <c r="AB10" s="55"/>
      <c r="AC10" s="55"/>
      <c r="AD10" s="55"/>
      <c r="AE10" s="56"/>
    </row>
    <row r="11" spans="1:31">
      <c r="A11" s="11">
        <f>ROW()-9</f>
        <v>2</v>
      </c>
      <c r="B11" s="64" t="s">
        <v>62</v>
      </c>
      <c r="C11" s="64"/>
      <c r="D11" s="64"/>
      <c r="E11" s="64"/>
      <c r="F11" s="64" t="s">
        <v>83</v>
      </c>
      <c r="G11" s="64"/>
      <c r="H11" s="64"/>
      <c r="I11" s="64"/>
      <c r="J11" s="63" t="s">
        <v>44</v>
      </c>
      <c r="K11" s="63"/>
      <c r="L11" s="63"/>
      <c r="M11" s="65">
        <v>16</v>
      </c>
      <c r="N11" s="65"/>
      <c r="O11" s="60"/>
      <c r="P11" s="61"/>
      <c r="Q11" s="20"/>
      <c r="R11" s="30" t="s">
        <v>45</v>
      </c>
      <c r="S11" s="30" t="s">
        <v>110</v>
      </c>
      <c r="T11" s="60"/>
      <c r="U11" s="61"/>
      <c r="V11" s="54"/>
      <c r="W11" s="55"/>
      <c r="X11" s="55"/>
      <c r="Y11" s="55"/>
      <c r="Z11" s="55"/>
      <c r="AA11" s="55"/>
      <c r="AB11" s="55"/>
      <c r="AC11" s="55"/>
      <c r="AD11" s="55"/>
      <c r="AE11" s="56"/>
    </row>
    <row r="12" spans="1:31">
      <c r="A12" s="11">
        <f t="shared" ref="A12:A24" si="0">ROW()-9</f>
        <v>3</v>
      </c>
      <c r="B12" s="66" t="s">
        <v>70</v>
      </c>
      <c r="C12" s="67"/>
      <c r="D12" s="67"/>
      <c r="E12" s="68"/>
      <c r="F12" s="64" t="s">
        <v>125</v>
      </c>
      <c r="G12" s="64"/>
      <c r="H12" s="64"/>
      <c r="I12" s="64"/>
      <c r="J12" s="54" t="s">
        <v>41</v>
      </c>
      <c r="K12" s="55"/>
      <c r="L12" s="56"/>
      <c r="M12" s="60">
        <v>2</v>
      </c>
      <c r="N12" s="61"/>
      <c r="O12" s="60"/>
      <c r="P12" s="61"/>
      <c r="Q12" s="20"/>
      <c r="R12" s="30" t="s">
        <v>45</v>
      </c>
      <c r="S12" s="30" t="s">
        <v>110</v>
      </c>
      <c r="T12" s="60"/>
      <c r="U12" s="61"/>
      <c r="V12" s="54"/>
      <c r="W12" s="55"/>
      <c r="X12" s="55"/>
      <c r="Y12" s="55"/>
      <c r="Z12" s="55"/>
      <c r="AA12" s="55"/>
      <c r="AB12" s="55"/>
      <c r="AC12" s="55"/>
      <c r="AD12" s="55"/>
      <c r="AE12" s="56"/>
    </row>
    <row r="13" spans="1:31">
      <c r="A13" s="11">
        <f t="shared" si="0"/>
        <v>4</v>
      </c>
      <c r="B13" s="64" t="s">
        <v>65</v>
      </c>
      <c r="C13" s="64"/>
      <c r="D13" s="64"/>
      <c r="E13" s="64"/>
      <c r="F13" s="64" t="s">
        <v>73</v>
      </c>
      <c r="G13" s="64"/>
      <c r="H13" s="64"/>
      <c r="I13" s="64"/>
      <c r="J13" s="63" t="s">
        <v>41</v>
      </c>
      <c r="K13" s="63"/>
      <c r="L13" s="63"/>
      <c r="M13" s="60">
        <v>2</v>
      </c>
      <c r="N13" s="61"/>
      <c r="O13" s="60"/>
      <c r="P13" s="61">
        <v>2</v>
      </c>
      <c r="Q13" s="20"/>
      <c r="R13" s="30" t="s">
        <v>45</v>
      </c>
      <c r="S13" s="30" t="s">
        <v>110</v>
      </c>
      <c r="T13" s="60"/>
      <c r="U13" s="61"/>
      <c r="V13" s="54"/>
      <c r="W13" s="55"/>
      <c r="X13" s="55"/>
      <c r="Y13" s="55"/>
      <c r="Z13" s="55"/>
      <c r="AA13" s="55"/>
      <c r="AB13" s="55"/>
      <c r="AC13" s="55"/>
      <c r="AD13" s="55"/>
      <c r="AE13" s="56"/>
    </row>
    <row r="14" spans="1:31">
      <c r="A14" s="11">
        <f t="shared" si="0"/>
        <v>5</v>
      </c>
      <c r="B14" s="64" t="s">
        <v>71</v>
      </c>
      <c r="C14" s="64"/>
      <c r="D14" s="64"/>
      <c r="E14" s="64"/>
      <c r="F14" s="64" t="s">
        <v>74</v>
      </c>
      <c r="G14" s="64"/>
      <c r="H14" s="64"/>
      <c r="I14" s="64"/>
      <c r="J14" s="63" t="s">
        <v>41</v>
      </c>
      <c r="K14" s="63"/>
      <c r="L14" s="63"/>
      <c r="M14" s="65">
        <v>2</v>
      </c>
      <c r="N14" s="65"/>
      <c r="O14" s="60"/>
      <c r="P14" s="61"/>
      <c r="Q14" s="20"/>
      <c r="R14" s="30" t="s">
        <v>45</v>
      </c>
      <c r="S14" s="30" t="s">
        <v>110</v>
      </c>
      <c r="T14" s="60"/>
      <c r="U14" s="61"/>
      <c r="V14" s="54"/>
      <c r="W14" s="55"/>
      <c r="X14" s="55"/>
      <c r="Y14" s="55"/>
      <c r="Z14" s="55"/>
      <c r="AA14" s="55"/>
      <c r="AB14" s="55"/>
      <c r="AC14" s="55"/>
      <c r="AD14" s="55"/>
      <c r="AE14" s="56"/>
    </row>
    <row r="15" spans="1:31">
      <c r="A15" s="11">
        <f t="shared" si="0"/>
        <v>6</v>
      </c>
      <c r="B15" s="64" t="s">
        <v>113</v>
      </c>
      <c r="C15" s="64"/>
      <c r="D15" s="64"/>
      <c r="E15" s="64"/>
      <c r="F15" s="66" t="s">
        <v>123</v>
      </c>
      <c r="G15" s="67"/>
      <c r="H15" s="67"/>
      <c r="I15" s="68"/>
      <c r="J15" s="54" t="s">
        <v>84</v>
      </c>
      <c r="K15" s="55"/>
      <c r="L15" s="56"/>
      <c r="M15" s="60"/>
      <c r="N15" s="61"/>
      <c r="O15" s="60"/>
      <c r="P15" s="61"/>
      <c r="Q15" s="30"/>
      <c r="R15" s="30" t="s">
        <v>45</v>
      </c>
      <c r="S15" s="30"/>
      <c r="T15" s="60"/>
      <c r="U15" s="61"/>
      <c r="V15" s="54"/>
      <c r="W15" s="55"/>
      <c r="X15" s="55"/>
      <c r="Y15" s="55"/>
      <c r="Z15" s="55"/>
      <c r="AA15" s="55"/>
      <c r="AB15" s="55"/>
      <c r="AC15" s="55"/>
      <c r="AD15" s="55"/>
      <c r="AE15" s="56"/>
    </row>
    <row r="16" spans="1:31">
      <c r="A16" s="11">
        <f t="shared" si="0"/>
        <v>7</v>
      </c>
      <c r="B16" s="64" t="s">
        <v>111</v>
      </c>
      <c r="C16" s="64"/>
      <c r="D16" s="64"/>
      <c r="E16" s="64"/>
      <c r="F16" s="64" t="s">
        <v>117</v>
      </c>
      <c r="G16" s="64"/>
      <c r="H16" s="64"/>
      <c r="I16" s="64"/>
      <c r="J16" s="70" t="s">
        <v>147</v>
      </c>
      <c r="K16" s="69"/>
      <c r="L16" s="69"/>
      <c r="M16" s="65"/>
      <c r="N16" s="65"/>
      <c r="O16" s="60">
        <v>0</v>
      </c>
      <c r="P16" s="61"/>
      <c r="Q16" s="30"/>
      <c r="R16" s="30"/>
      <c r="S16" s="30"/>
      <c r="T16" s="60"/>
      <c r="U16" s="61"/>
      <c r="V16" s="54" t="s">
        <v>120</v>
      </c>
      <c r="W16" s="55"/>
      <c r="X16" s="55"/>
      <c r="Y16" s="55"/>
      <c r="Z16" s="55"/>
      <c r="AA16" s="55"/>
      <c r="AB16" s="55"/>
      <c r="AC16" s="55"/>
      <c r="AD16" s="55"/>
      <c r="AE16" s="56"/>
    </row>
    <row r="17" spans="1:31">
      <c r="A17" s="11">
        <f t="shared" si="0"/>
        <v>8</v>
      </c>
      <c r="B17" s="64" t="s">
        <v>112</v>
      </c>
      <c r="C17" s="64"/>
      <c r="D17" s="64"/>
      <c r="E17" s="64"/>
      <c r="F17" s="64" t="s">
        <v>118</v>
      </c>
      <c r="G17" s="64"/>
      <c r="H17" s="64"/>
      <c r="I17" s="64"/>
      <c r="J17" s="69" t="s">
        <v>146</v>
      </c>
      <c r="K17" s="69"/>
      <c r="L17" s="69"/>
      <c r="M17" s="65"/>
      <c r="N17" s="65"/>
      <c r="O17" s="60">
        <v>0</v>
      </c>
      <c r="P17" s="61"/>
      <c r="Q17" s="30"/>
      <c r="R17" s="30"/>
      <c r="S17" s="30"/>
      <c r="T17" s="60"/>
      <c r="U17" s="61"/>
      <c r="V17" s="54" t="s">
        <v>120</v>
      </c>
      <c r="W17" s="55"/>
      <c r="X17" s="55"/>
      <c r="Y17" s="55"/>
      <c r="Z17" s="55"/>
      <c r="AA17" s="55"/>
      <c r="AB17" s="55"/>
      <c r="AC17" s="55"/>
      <c r="AD17" s="55"/>
      <c r="AE17" s="56"/>
    </row>
    <row r="18" spans="1:31">
      <c r="A18" s="11">
        <f t="shared" si="0"/>
        <v>9</v>
      </c>
      <c r="B18" s="64" t="s">
        <v>64</v>
      </c>
      <c r="C18" s="64"/>
      <c r="D18" s="64"/>
      <c r="E18" s="64"/>
      <c r="F18" s="64" t="s">
        <v>115</v>
      </c>
      <c r="G18" s="64"/>
      <c r="H18" s="64"/>
      <c r="I18" s="64"/>
      <c r="J18" s="69" t="s">
        <v>146</v>
      </c>
      <c r="K18" s="69"/>
      <c r="L18" s="69"/>
      <c r="M18" s="65"/>
      <c r="N18" s="65"/>
      <c r="O18" s="60">
        <v>0</v>
      </c>
      <c r="P18" s="61"/>
      <c r="Q18" s="30"/>
      <c r="R18" s="30"/>
      <c r="S18" s="30"/>
      <c r="T18" s="60"/>
      <c r="U18" s="61"/>
      <c r="V18" s="54" t="s">
        <v>119</v>
      </c>
      <c r="W18" s="55"/>
      <c r="X18" s="55"/>
      <c r="Y18" s="55"/>
      <c r="Z18" s="55"/>
      <c r="AA18" s="55"/>
      <c r="AB18" s="55"/>
      <c r="AC18" s="55"/>
      <c r="AD18" s="55"/>
      <c r="AE18" s="56"/>
    </row>
    <row r="19" spans="1:31">
      <c r="A19" s="11">
        <f t="shared" si="0"/>
        <v>10</v>
      </c>
      <c r="B19" s="64" t="s">
        <v>114</v>
      </c>
      <c r="C19" s="64"/>
      <c r="D19" s="64"/>
      <c r="E19" s="64"/>
      <c r="F19" s="64" t="s">
        <v>116</v>
      </c>
      <c r="G19" s="64"/>
      <c r="H19" s="64"/>
      <c r="I19" s="64"/>
      <c r="J19" s="63" t="s">
        <v>41</v>
      </c>
      <c r="K19" s="63"/>
      <c r="L19" s="63"/>
      <c r="M19" s="60">
        <v>1</v>
      </c>
      <c r="N19" s="61">
        <v>0</v>
      </c>
      <c r="O19" s="60"/>
      <c r="P19" s="61"/>
      <c r="Q19" s="30"/>
      <c r="R19" s="30"/>
      <c r="S19" s="30"/>
      <c r="T19" s="60"/>
      <c r="U19" s="61"/>
      <c r="V19" s="54"/>
      <c r="W19" s="55"/>
      <c r="X19" s="55"/>
      <c r="Y19" s="55"/>
      <c r="Z19" s="55"/>
      <c r="AA19" s="55"/>
      <c r="AB19" s="55"/>
      <c r="AC19" s="55"/>
      <c r="AD19" s="55"/>
      <c r="AE19" s="56"/>
    </row>
    <row r="20" spans="1:31">
      <c r="A20" s="11">
        <f t="shared" si="0"/>
        <v>11</v>
      </c>
      <c r="B20" s="64" t="s">
        <v>43</v>
      </c>
      <c r="C20" s="64"/>
      <c r="D20" s="64"/>
      <c r="E20" s="64"/>
      <c r="F20" s="64" t="s">
        <v>50</v>
      </c>
      <c r="G20" s="64"/>
      <c r="H20" s="64"/>
      <c r="I20" s="64"/>
      <c r="J20" s="63" t="s">
        <v>44</v>
      </c>
      <c r="K20" s="63"/>
      <c r="L20" s="63"/>
      <c r="M20" s="60">
        <v>16</v>
      </c>
      <c r="N20" s="61"/>
      <c r="O20" s="60"/>
      <c r="P20" s="61"/>
      <c r="Q20" s="20"/>
      <c r="R20" s="30" t="s">
        <v>45</v>
      </c>
      <c r="S20" s="30"/>
      <c r="T20" s="60"/>
      <c r="U20" s="61"/>
      <c r="V20" s="54"/>
      <c r="W20" s="55"/>
      <c r="X20" s="55"/>
      <c r="Y20" s="55"/>
      <c r="Z20" s="55"/>
      <c r="AA20" s="55"/>
      <c r="AB20" s="55"/>
      <c r="AC20" s="55"/>
      <c r="AD20" s="55"/>
      <c r="AE20" s="56"/>
    </row>
    <row r="21" spans="1:31">
      <c r="A21" s="11">
        <f t="shared" si="0"/>
        <v>12</v>
      </c>
      <c r="B21" s="64" t="s">
        <v>42</v>
      </c>
      <c r="C21" s="64"/>
      <c r="D21" s="64"/>
      <c r="E21" s="64"/>
      <c r="F21" s="64" t="s">
        <v>51</v>
      </c>
      <c r="G21" s="64"/>
      <c r="H21" s="64"/>
      <c r="I21" s="64"/>
      <c r="J21" s="63" t="s">
        <v>52</v>
      </c>
      <c r="K21" s="63"/>
      <c r="L21" s="63"/>
      <c r="M21" s="60"/>
      <c r="N21" s="61"/>
      <c r="O21" s="60"/>
      <c r="P21" s="61"/>
      <c r="Q21" s="20"/>
      <c r="R21" s="20" t="s">
        <v>45</v>
      </c>
      <c r="S21" s="30"/>
      <c r="T21" s="60"/>
      <c r="U21" s="61"/>
      <c r="V21" s="54"/>
      <c r="W21" s="55"/>
      <c r="X21" s="55"/>
      <c r="Y21" s="55"/>
      <c r="Z21" s="55"/>
      <c r="AA21" s="55"/>
      <c r="AB21" s="55"/>
      <c r="AC21" s="55"/>
      <c r="AD21" s="55"/>
      <c r="AE21" s="56"/>
    </row>
    <row r="22" spans="1:31">
      <c r="A22" s="11">
        <f t="shared" si="0"/>
        <v>13</v>
      </c>
      <c r="B22" s="64" t="s">
        <v>53</v>
      </c>
      <c r="C22" s="64"/>
      <c r="D22" s="64"/>
      <c r="E22" s="64"/>
      <c r="F22" s="64" t="s">
        <v>54</v>
      </c>
      <c r="G22" s="64"/>
      <c r="H22" s="64"/>
      <c r="I22" s="64"/>
      <c r="J22" s="63" t="s">
        <v>44</v>
      </c>
      <c r="K22" s="63"/>
      <c r="L22" s="63"/>
      <c r="M22" s="60">
        <v>16</v>
      </c>
      <c r="N22" s="61"/>
      <c r="O22" s="60"/>
      <c r="P22" s="61"/>
      <c r="Q22" s="20"/>
      <c r="R22" s="20" t="s">
        <v>45</v>
      </c>
      <c r="S22" s="30"/>
      <c r="T22" s="60"/>
      <c r="U22" s="61"/>
      <c r="V22" s="54"/>
      <c r="W22" s="55"/>
      <c r="X22" s="55"/>
      <c r="Y22" s="55"/>
      <c r="Z22" s="55"/>
      <c r="AA22" s="55"/>
      <c r="AB22" s="55"/>
      <c r="AC22" s="55"/>
      <c r="AD22" s="55"/>
      <c r="AE22" s="56"/>
    </row>
    <row r="23" spans="1:31">
      <c r="A23" s="11">
        <f t="shared" si="0"/>
        <v>14</v>
      </c>
      <c r="B23" s="64" t="s">
        <v>56</v>
      </c>
      <c r="C23" s="64"/>
      <c r="D23" s="64"/>
      <c r="E23" s="64"/>
      <c r="F23" s="64" t="s">
        <v>57</v>
      </c>
      <c r="G23" s="64"/>
      <c r="H23" s="64"/>
      <c r="I23" s="64"/>
      <c r="J23" s="63" t="s">
        <v>52</v>
      </c>
      <c r="K23" s="63"/>
      <c r="L23" s="63"/>
      <c r="M23" s="60"/>
      <c r="N23" s="61"/>
      <c r="O23" s="60"/>
      <c r="P23" s="61"/>
      <c r="Q23" s="20"/>
      <c r="R23" s="20" t="s">
        <v>45</v>
      </c>
      <c r="S23" s="30"/>
      <c r="T23" s="60"/>
      <c r="U23" s="61"/>
      <c r="V23" s="54"/>
      <c r="W23" s="55"/>
      <c r="X23" s="55"/>
      <c r="Y23" s="55"/>
      <c r="Z23" s="55"/>
      <c r="AA23" s="55"/>
      <c r="AB23" s="55"/>
      <c r="AC23" s="55"/>
      <c r="AD23" s="55"/>
      <c r="AE23" s="56"/>
    </row>
    <row r="24" spans="1:31">
      <c r="A24" s="11">
        <f t="shared" si="0"/>
        <v>15</v>
      </c>
      <c r="B24" s="64" t="s">
        <v>58</v>
      </c>
      <c r="C24" s="64"/>
      <c r="D24" s="64"/>
      <c r="E24" s="64"/>
      <c r="F24" s="64" t="s">
        <v>59</v>
      </c>
      <c r="G24" s="64"/>
      <c r="H24" s="64"/>
      <c r="I24" s="64"/>
      <c r="J24" s="63" t="s">
        <v>41</v>
      </c>
      <c r="K24" s="63"/>
      <c r="L24" s="63"/>
      <c r="M24" s="60">
        <v>1</v>
      </c>
      <c r="N24" s="61">
        <v>0</v>
      </c>
      <c r="O24" s="60">
        <v>0</v>
      </c>
      <c r="P24" s="61"/>
      <c r="Q24" s="30"/>
      <c r="R24" s="30" t="s">
        <v>45</v>
      </c>
      <c r="S24" s="30"/>
      <c r="T24" s="60" t="s">
        <v>99</v>
      </c>
      <c r="U24" s="61"/>
      <c r="V24" s="54"/>
      <c r="W24" s="55"/>
      <c r="X24" s="55"/>
      <c r="Y24" s="55"/>
      <c r="Z24" s="55"/>
      <c r="AA24" s="55"/>
      <c r="AB24" s="55"/>
      <c r="AC24" s="55"/>
      <c r="AD24" s="55"/>
      <c r="AE24" s="56"/>
    </row>
  </sheetData>
  <mergeCells count="128">
    <mergeCell ref="T24:U24"/>
    <mergeCell ref="V24:AE24"/>
    <mergeCell ref="T18:U18"/>
    <mergeCell ref="V18:AE18"/>
    <mergeCell ref="T11:U11"/>
    <mergeCell ref="V11:AE11"/>
    <mergeCell ref="T12:U12"/>
    <mergeCell ref="V12:AE12"/>
    <mergeCell ref="T13:U13"/>
    <mergeCell ref="V13:AE13"/>
    <mergeCell ref="T14:U14"/>
    <mergeCell ref="V14:AE14"/>
    <mergeCell ref="T15:U15"/>
    <mergeCell ref="V15:AE15"/>
    <mergeCell ref="T16:U16"/>
    <mergeCell ref="V16:AE16"/>
    <mergeCell ref="T17:U17"/>
    <mergeCell ref="V17:AE17"/>
    <mergeCell ref="T19:U19"/>
    <mergeCell ref="V19:AE19"/>
    <mergeCell ref="T20:U20"/>
    <mergeCell ref="V20:AE20"/>
    <mergeCell ref="T21:U21"/>
    <mergeCell ref="V21:AE21"/>
    <mergeCell ref="A1:B2"/>
    <mergeCell ref="C1:P2"/>
    <mergeCell ref="Q1:S1"/>
    <mergeCell ref="T1:X1"/>
    <mergeCell ref="Y1:AA1"/>
    <mergeCell ref="AB1:AE1"/>
    <mergeCell ref="Q2:S2"/>
    <mergeCell ref="T2:X2"/>
    <mergeCell ref="Y2:AA2"/>
    <mergeCell ref="AB2:AE2"/>
    <mergeCell ref="A4:E4"/>
    <mergeCell ref="F4:AE4"/>
    <mergeCell ref="A5:E5"/>
    <mergeCell ref="F5:AE5"/>
    <mergeCell ref="A6:E6"/>
    <mergeCell ref="F6:AE6"/>
    <mergeCell ref="B9:E9"/>
    <mergeCell ref="F9:I9"/>
    <mergeCell ref="J9:L9"/>
    <mergeCell ref="M9:N9"/>
    <mergeCell ref="O9:P9"/>
    <mergeCell ref="T9:U9"/>
    <mergeCell ref="V9:AE9"/>
    <mergeCell ref="B11:E11"/>
    <mergeCell ref="F11:I11"/>
    <mergeCell ref="J11:L11"/>
    <mergeCell ref="M11:N11"/>
    <mergeCell ref="O11:P11"/>
    <mergeCell ref="M13:N13"/>
    <mergeCell ref="O13:P13"/>
    <mergeCell ref="J13:L13"/>
    <mergeCell ref="B16:E16"/>
    <mergeCell ref="F16:I16"/>
    <mergeCell ref="J16:L16"/>
    <mergeCell ref="M16:N16"/>
    <mergeCell ref="O16:P16"/>
    <mergeCell ref="B15:E15"/>
    <mergeCell ref="F15:I15"/>
    <mergeCell ref="J15:L15"/>
    <mergeCell ref="M15:N15"/>
    <mergeCell ref="O15:P15"/>
    <mergeCell ref="F14:I14"/>
    <mergeCell ref="J14:L14"/>
    <mergeCell ref="M14:N14"/>
    <mergeCell ref="O14:P14"/>
    <mergeCell ref="B13:E13"/>
    <mergeCell ref="F13:I13"/>
    <mergeCell ref="T23:U23"/>
    <mergeCell ref="V23:AE23"/>
    <mergeCell ref="F20:I20"/>
    <mergeCell ref="J20:L20"/>
    <mergeCell ref="M20:N20"/>
    <mergeCell ref="O20:P20"/>
    <mergeCell ref="B21:E21"/>
    <mergeCell ref="F21:I21"/>
    <mergeCell ref="J21:L21"/>
    <mergeCell ref="M21:N21"/>
    <mergeCell ref="O21:P21"/>
    <mergeCell ref="B23:E23"/>
    <mergeCell ref="F23:I23"/>
    <mergeCell ref="J23:L23"/>
    <mergeCell ref="M23:N23"/>
    <mergeCell ref="O23:P23"/>
    <mergeCell ref="F22:I22"/>
    <mergeCell ref="J22:L22"/>
    <mergeCell ref="M22:N22"/>
    <mergeCell ref="O22:P22"/>
    <mergeCell ref="B20:E20"/>
    <mergeCell ref="T22:U22"/>
    <mergeCell ref="V22:AE22"/>
    <mergeCell ref="J18:L18"/>
    <mergeCell ref="M18:N18"/>
    <mergeCell ref="O18:P18"/>
    <mergeCell ref="B17:E17"/>
    <mergeCell ref="F17:I17"/>
    <mergeCell ref="J17:L17"/>
    <mergeCell ref="M17:N17"/>
    <mergeCell ref="O17:P17"/>
    <mergeCell ref="B18:E18"/>
    <mergeCell ref="F18:I18"/>
    <mergeCell ref="B10:E10"/>
    <mergeCell ref="F10:I10"/>
    <mergeCell ref="J10:L10"/>
    <mergeCell ref="M10:N10"/>
    <mergeCell ref="O10:P10"/>
    <mergeCell ref="T10:U10"/>
    <mergeCell ref="V10:AE10"/>
    <mergeCell ref="B24:E24"/>
    <mergeCell ref="F24:I24"/>
    <mergeCell ref="J24:L24"/>
    <mergeCell ref="M24:N24"/>
    <mergeCell ref="O24:P24"/>
    <mergeCell ref="B12:E12"/>
    <mergeCell ref="F12:I12"/>
    <mergeCell ref="J12:L12"/>
    <mergeCell ref="M12:N12"/>
    <mergeCell ref="O12:P12"/>
    <mergeCell ref="B22:E22"/>
    <mergeCell ref="B19:E19"/>
    <mergeCell ref="F19:I19"/>
    <mergeCell ref="J19:L19"/>
    <mergeCell ref="M19:N19"/>
    <mergeCell ref="O19:P19"/>
    <mergeCell ref="B14:E14"/>
  </mergeCells>
  <phoneticPr fontId="3"/>
  <hyperlinks>
    <hyperlink ref="A8" location="テーブル一覧!A1" display="一覧に戻る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"/>
  <sheetViews>
    <sheetView showGridLines="0" view="pageBreakPreview" zoomScaleSheetLayoutView="100" workbookViewId="0">
      <selection sqref="A1:B2"/>
    </sheetView>
  </sheetViews>
  <sheetFormatPr defaultColWidth="3.875" defaultRowHeight="12"/>
  <cols>
    <col min="1" max="16384" width="3.875" style="6"/>
  </cols>
  <sheetData>
    <row r="1" spans="1:31" ht="18" customHeight="1">
      <c r="A1" s="51" t="s">
        <v>10</v>
      </c>
      <c r="B1" s="51"/>
      <c r="C1" s="52" t="str">
        <f>表紙!B3</f>
        <v>アビックトレーニング（仮）DB定義書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6" t="s">
        <v>12</v>
      </c>
      <c r="R1" s="46"/>
      <c r="S1" s="46"/>
      <c r="T1" s="45" t="s">
        <v>14</v>
      </c>
      <c r="U1" s="45"/>
      <c r="V1" s="45"/>
      <c r="W1" s="45"/>
      <c r="X1" s="45"/>
      <c r="Y1" s="46" t="s">
        <v>8</v>
      </c>
      <c r="Z1" s="46"/>
      <c r="AA1" s="46"/>
      <c r="AB1" s="47">
        <v>41973</v>
      </c>
      <c r="AC1" s="47"/>
      <c r="AD1" s="47"/>
      <c r="AE1" s="47"/>
    </row>
    <row r="2" spans="1:31" ht="18" customHeight="1">
      <c r="A2" s="5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6" t="s">
        <v>13</v>
      </c>
      <c r="R2" s="46"/>
      <c r="S2" s="46"/>
      <c r="T2" s="45"/>
      <c r="U2" s="45"/>
      <c r="V2" s="45"/>
      <c r="W2" s="45"/>
      <c r="X2" s="45"/>
      <c r="Y2" s="46" t="s">
        <v>9</v>
      </c>
      <c r="Z2" s="46"/>
      <c r="AA2" s="46"/>
      <c r="AB2" s="45"/>
      <c r="AC2" s="45"/>
      <c r="AD2" s="45"/>
      <c r="AE2" s="4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62" t="s">
        <v>29</v>
      </c>
      <c r="B4" s="62"/>
      <c r="C4" s="62"/>
      <c r="D4" s="62"/>
      <c r="E4" s="62"/>
      <c r="F4" s="54" t="str">
        <f>テーブル一覧!C16</f>
        <v>苦手問題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6"/>
    </row>
    <row r="5" spans="1:31">
      <c r="A5" s="62" t="s">
        <v>30</v>
      </c>
      <c r="B5" s="62"/>
      <c r="C5" s="62"/>
      <c r="D5" s="62"/>
      <c r="E5" s="62"/>
      <c r="F5" s="54" t="str">
        <f>テーブル一覧!H16</f>
        <v>T_WEAK_POINT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6"/>
    </row>
    <row r="6" spans="1:31">
      <c r="A6" s="62" t="s">
        <v>21</v>
      </c>
      <c r="B6" s="62"/>
      <c r="C6" s="62"/>
      <c r="D6" s="62"/>
      <c r="E6" s="62"/>
      <c r="F6" s="63" t="s">
        <v>85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</row>
    <row r="8" spans="1:31">
      <c r="A8" s="21" t="s">
        <v>92</v>
      </c>
    </row>
    <row r="9" spans="1:31" s="14" customFormat="1">
      <c r="A9" s="18" t="s">
        <v>19</v>
      </c>
      <c r="B9" s="51" t="s">
        <v>34</v>
      </c>
      <c r="C9" s="51"/>
      <c r="D9" s="51"/>
      <c r="E9" s="51"/>
      <c r="F9" s="51" t="s">
        <v>35</v>
      </c>
      <c r="G9" s="51"/>
      <c r="H9" s="51"/>
      <c r="I9" s="51"/>
      <c r="J9" s="51" t="s">
        <v>36</v>
      </c>
      <c r="K9" s="51"/>
      <c r="L9" s="51"/>
      <c r="M9" s="51" t="s">
        <v>37</v>
      </c>
      <c r="N9" s="51"/>
      <c r="O9" s="57" t="s">
        <v>20</v>
      </c>
      <c r="P9" s="59"/>
      <c r="Q9" s="18" t="s">
        <v>22</v>
      </c>
      <c r="R9" s="18" t="s">
        <v>40</v>
      </c>
      <c r="S9" s="29" t="s">
        <v>98</v>
      </c>
      <c r="T9" s="57" t="s">
        <v>100</v>
      </c>
      <c r="U9" s="59"/>
      <c r="V9" s="57" t="s">
        <v>21</v>
      </c>
      <c r="W9" s="58"/>
      <c r="X9" s="58"/>
      <c r="Y9" s="58"/>
      <c r="Z9" s="58"/>
      <c r="AA9" s="58"/>
      <c r="AB9" s="58"/>
      <c r="AC9" s="58"/>
      <c r="AD9" s="58"/>
      <c r="AE9" s="59"/>
    </row>
    <row r="10" spans="1:31">
      <c r="A10" s="11">
        <f>ROW()-9</f>
        <v>1</v>
      </c>
      <c r="B10" s="64" t="s">
        <v>62</v>
      </c>
      <c r="C10" s="64"/>
      <c r="D10" s="64"/>
      <c r="E10" s="64"/>
      <c r="F10" s="64" t="s">
        <v>83</v>
      </c>
      <c r="G10" s="64"/>
      <c r="H10" s="64"/>
      <c r="I10" s="64"/>
      <c r="J10" s="63" t="s">
        <v>44</v>
      </c>
      <c r="K10" s="63"/>
      <c r="L10" s="63"/>
      <c r="M10" s="65">
        <v>16</v>
      </c>
      <c r="N10" s="65"/>
      <c r="O10" s="60"/>
      <c r="P10" s="61"/>
      <c r="Q10" s="20">
        <v>1</v>
      </c>
      <c r="R10" s="30" t="s">
        <v>45</v>
      </c>
      <c r="S10" s="30" t="s">
        <v>45</v>
      </c>
      <c r="T10" s="60"/>
      <c r="U10" s="61"/>
      <c r="V10" s="54"/>
      <c r="W10" s="55"/>
      <c r="X10" s="55"/>
      <c r="Y10" s="55"/>
      <c r="Z10" s="55"/>
      <c r="AA10" s="55"/>
      <c r="AB10" s="55"/>
      <c r="AC10" s="55"/>
      <c r="AD10" s="55"/>
      <c r="AE10" s="56"/>
    </row>
    <row r="11" spans="1:31">
      <c r="A11" s="11">
        <f t="shared" ref="A11:A19" si="0">ROW()-9</f>
        <v>2</v>
      </c>
      <c r="B11" s="66" t="s">
        <v>70</v>
      </c>
      <c r="C11" s="67"/>
      <c r="D11" s="67"/>
      <c r="E11" s="68"/>
      <c r="F11" s="66" t="s">
        <v>72</v>
      </c>
      <c r="G11" s="67"/>
      <c r="H11" s="67"/>
      <c r="I11" s="68"/>
      <c r="J11" s="54" t="s">
        <v>41</v>
      </c>
      <c r="K11" s="55"/>
      <c r="L11" s="56"/>
      <c r="M11" s="60">
        <v>2</v>
      </c>
      <c r="N11" s="61"/>
      <c r="O11" s="60"/>
      <c r="P11" s="61"/>
      <c r="Q11" s="20">
        <v>2</v>
      </c>
      <c r="R11" s="30" t="s">
        <v>45</v>
      </c>
      <c r="S11" s="30" t="s">
        <v>45</v>
      </c>
      <c r="T11" s="60"/>
      <c r="U11" s="61"/>
      <c r="V11" s="54"/>
      <c r="W11" s="55"/>
      <c r="X11" s="55"/>
      <c r="Y11" s="55"/>
      <c r="Z11" s="55"/>
      <c r="AA11" s="55"/>
      <c r="AB11" s="55"/>
      <c r="AC11" s="55"/>
      <c r="AD11" s="55"/>
      <c r="AE11" s="56"/>
    </row>
    <row r="12" spans="1:31">
      <c r="A12" s="11">
        <f t="shared" si="0"/>
        <v>3</v>
      </c>
      <c r="B12" s="64" t="s">
        <v>65</v>
      </c>
      <c r="C12" s="64"/>
      <c r="D12" s="64"/>
      <c r="E12" s="64"/>
      <c r="F12" s="64" t="s">
        <v>68</v>
      </c>
      <c r="G12" s="64"/>
      <c r="H12" s="64"/>
      <c r="I12" s="64"/>
      <c r="J12" s="63" t="s">
        <v>41</v>
      </c>
      <c r="K12" s="63"/>
      <c r="L12" s="63"/>
      <c r="M12" s="60">
        <v>2</v>
      </c>
      <c r="N12" s="61"/>
      <c r="O12" s="60"/>
      <c r="P12" s="61">
        <v>2</v>
      </c>
      <c r="Q12" s="20">
        <v>3</v>
      </c>
      <c r="R12" s="30" t="s">
        <v>45</v>
      </c>
      <c r="S12" s="30" t="s">
        <v>45</v>
      </c>
      <c r="T12" s="60"/>
      <c r="U12" s="61"/>
      <c r="V12" s="54"/>
      <c r="W12" s="55"/>
      <c r="X12" s="55"/>
      <c r="Y12" s="55"/>
      <c r="Z12" s="55"/>
      <c r="AA12" s="55"/>
      <c r="AB12" s="55"/>
      <c r="AC12" s="55"/>
      <c r="AD12" s="55"/>
      <c r="AE12" s="56"/>
    </row>
    <row r="13" spans="1:31">
      <c r="A13" s="11">
        <f t="shared" si="0"/>
        <v>4</v>
      </c>
      <c r="B13" s="64" t="s">
        <v>71</v>
      </c>
      <c r="C13" s="64"/>
      <c r="D13" s="64"/>
      <c r="E13" s="64"/>
      <c r="F13" s="64" t="s">
        <v>74</v>
      </c>
      <c r="G13" s="64"/>
      <c r="H13" s="64"/>
      <c r="I13" s="64"/>
      <c r="J13" s="63" t="s">
        <v>41</v>
      </c>
      <c r="K13" s="63"/>
      <c r="L13" s="63"/>
      <c r="M13" s="65">
        <v>2</v>
      </c>
      <c r="N13" s="65"/>
      <c r="O13" s="60"/>
      <c r="P13" s="61"/>
      <c r="Q13" s="20">
        <v>4</v>
      </c>
      <c r="R13" s="30" t="s">
        <v>45</v>
      </c>
      <c r="S13" s="30" t="s">
        <v>45</v>
      </c>
      <c r="T13" s="60"/>
      <c r="U13" s="61"/>
      <c r="V13" s="54"/>
      <c r="W13" s="55"/>
      <c r="X13" s="55"/>
      <c r="Y13" s="55"/>
      <c r="Z13" s="55"/>
      <c r="AA13" s="55"/>
      <c r="AB13" s="55"/>
      <c r="AC13" s="55"/>
      <c r="AD13" s="55"/>
      <c r="AE13" s="56"/>
    </row>
    <row r="14" spans="1:31">
      <c r="A14" s="11">
        <f t="shared" si="0"/>
        <v>5</v>
      </c>
      <c r="B14" s="64" t="s">
        <v>69</v>
      </c>
      <c r="C14" s="64"/>
      <c r="D14" s="64"/>
      <c r="E14" s="64"/>
      <c r="F14" s="64" t="s">
        <v>75</v>
      </c>
      <c r="G14" s="64"/>
      <c r="H14" s="64"/>
      <c r="I14" s="64"/>
      <c r="J14" s="63" t="s">
        <v>41</v>
      </c>
      <c r="K14" s="63"/>
      <c r="L14" s="63"/>
      <c r="M14" s="65">
        <v>9</v>
      </c>
      <c r="N14" s="65"/>
      <c r="O14" s="60"/>
      <c r="P14" s="61"/>
      <c r="Q14" s="20">
        <v>5</v>
      </c>
      <c r="R14" s="30" t="s">
        <v>45</v>
      </c>
      <c r="S14" s="30" t="s">
        <v>45</v>
      </c>
      <c r="T14" s="60"/>
      <c r="U14" s="61"/>
      <c r="V14" s="54"/>
      <c r="W14" s="55"/>
      <c r="X14" s="55"/>
      <c r="Y14" s="55"/>
      <c r="Z14" s="55"/>
      <c r="AA14" s="55"/>
      <c r="AB14" s="55"/>
      <c r="AC14" s="55"/>
      <c r="AD14" s="55"/>
      <c r="AE14" s="56"/>
    </row>
    <row r="15" spans="1:31">
      <c r="A15" s="11">
        <f t="shared" si="0"/>
        <v>6</v>
      </c>
      <c r="B15" s="64" t="s">
        <v>43</v>
      </c>
      <c r="C15" s="64"/>
      <c r="D15" s="64"/>
      <c r="E15" s="64"/>
      <c r="F15" s="64" t="s">
        <v>50</v>
      </c>
      <c r="G15" s="64"/>
      <c r="H15" s="64"/>
      <c r="I15" s="64"/>
      <c r="J15" s="63" t="s">
        <v>44</v>
      </c>
      <c r="K15" s="63"/>
      <c r="L15" s="63"/>
      <c r="M15" s="60">
        <v>16</v>
      </c>
      <c r="N15" s="61"/>
      <c r="O15" s="60"/>
      <c r="P15" s="61"/>
      <c r="Q15" s="20"/>
      <c r="R15" s="20" t="s">
        <v>45</v>
      </c>
      <c r="S15" s="30"/>
      <c r="T15" s="60"/>
      <c r="U15" s="61"/>
      <c r="V15" s="54"/>
      <c r="W15" s="55"/>
      <c r="X15" s="55"/>
      <c r="Y15" s="55"/>
      <c r="Z15" s="55"/>
      <c r="AA15" s="55"/>
      <c r="AB15" s="55"/>
      <c r="AC15" s="55"/>
      <c r="AD15" s="55"/>
      <c r="AE15" s="56"/>
    </row>
    <row r="16" spans="1:31">
      <c r="A16" s="11">
        <f t="shared" si="0"/>
        <v>7</v>
      </c>
      <c r="B16" s="64" t="s">
        <v>42</v>
      </c>
      <c r="C16" s="64"/>
      <c r="D16" s="64"/>
      <c r="E16" s="64"/>
      <c r="F16" s="64" t="s">
        <v>51</v>
      </c>
      <c r="G16" s="64"/>
      <c r="H16" s="64"/>
      <c r="I16" s="64"/>
      <c r="J16" s="63" t="s">
        <v>52</v>
      </c>
      <c r="K16" s="63"/>
      <c r="L16" s="63"/>
      <c r="M16" s="60"/>
      <c r="N16" s="61"/>
      <c r="O16" s="60"/>
      <c r="P16" s="61"/>
      <c r="Q16" s="20"/>
      <c r="R16" s="20" t="s">
        <v>45</v>
      </c>
      <c r="S16" s="30"/>
      <c r="T16" s="60"/>
      <c r="U16" s="61"/>
      <c r="V16" s="54"/>
      <c r="W16" s="55"/>
      <c r="X16" s="55"/>
      <c r="Y16" s="55"/>
      <c r="Z16" s="55"/>
      <c r="AA16" s="55"/>
      <c r="AB16" s="55"/>
      <c r="AC16" s="55"/>
      <c r="AD16" s="55"/>
      <c r="AE16" s="56"/>
    </row>
    <row r="17" spans="1:31">
      <c r="A17" s="11">
        <f t="shared" si="0"/>
        <v>8</v>
      </c>
      <c r="B17" s="64" t="s">
        <v>53</v>
      </c>
      <c r="C17" s="64"/>
      <c r="D17" s="64"/>
      <c r="E17" s="64"/>
      <c r="F17" s="64" t="s">
        <v>54</v>
      </c>
      <c r="G17" s="64"/>
      <c r="H17" s="64"/>
      <c r="I17" s="64"/>
      <c r="J17" s="63" t="s">
        <v>44</v>
      </c>
      <c r="K17" s="63"/>
      <c r="L17" s="63"/>
      <c r="M17" s="60">
        <v>16</v>
      </c>
      <c r="N17" s="61"/>
      <c r="O17" s="60"/>
      <c r="P17" s="61"/>
      <c r="Q17" s="20"/>
      <c r="R17" s="20" t="s">
        <v>45</v>
      </c>
      <c r="S17" s="30"/>
      <c r="T17" s="60"/>
      <c r="U17" s="61"/>
      <c r="V17" s="54"/>
      <c r="W17" s="55"/>
      <c r="X17" s="55"/>
      <c r="Y17" s="55"/>
      <c r="Z17" s="55"/>
      <c r="AA17" s="55"/>
      <c r="AB17" s="55"/>
      <c r="AC17" s="55"/>
      <c r="AD17" s="55"/>
      <c r="AE17" s="56"/>
    </row>
    <row r="18" spans="1:31">
      <c r="A18" s="11">
        <f t="shared" si="0"/>
        <v>9</v>
      </c>
      <c r="B18" s="64" t="s">
        <v>56</v>
      </c>
      <c r="C18" s="64"/>
      <c r="D18" s="64"/>
      <c r="E18" s="64"/>
      <c r="F18" s="64" t="s">
        <v>57</v>
      </c>
      <c r="G18" s="64"/>
      <c r="H18" s="64"/>
      <c r="I18" s="64"/>
      <c r="J18" s="63" t="s">
        <v>52</v>
      </c>
      <c r="K18" s="63"/>
      <c r="L18" s="63"/>
      <c r="M18" s="60"/>
      <c r="N18" s="61"/>
      <c r="O18" s="60"/>
      <c r="P18" s="61"/>
      <c r="Q18" s="20"/>
      <c r="R18" s="20" t="s">
        <v>45</v>
      </c>
      <c r="S18" s="30"/>
      <c r="T18" s="60"/>
      <c r="U18" s="61"/>
      <c r="V18" s="54"/>
      <c r="W18" s="55"/>
      <c r="X18" s="55"/>
      <c r="Y18" s="55"/>
      <c r="Z18" s="55"/>
      <c r="AA18" s="55"/>
      <c r="AB18" s="55"/>
      <c r="AC18" s="55"/>
      <c r="AD18" s="55"/>
      <c r="AE18" s="56"/>
    </row>
    <row r="19" spans="1:31">
      <c r="A19" s="11">
        <f t="shared" si="0"/>
        <v>10</v>
      </c>
      <c r="B19" s="64" t="s">
        <v>58</v>
      </c>
      <c r="C19" s="64"/>
      <c r="D19" s="64"/>
      <c r="E19" s="64"/>
      <c r="F19" s="64" t="s">
        <v>59</v>
      </c>
      <c r="G19" s="64"/>
      <c r="H19" s="64"/>
      <c r="I19" s="64"/>
      <c r="J19" s="63" t="s">
        <v>41</v>
      </c>
      <c r="K19" s="63"/>
      <c r="L19" s="63"/>
      <c r="M19" s="60">
        <v>1</v>
      </c>
      <c r="N19" s="61">
        <v>0</v>
      </c>
      <c r="O19" s="60">
        <v>0</v>
      </c>
      <c r="P19" s="61"/>
      <c r="Q19" s="30"/>
      <c r="R19" s="30" t="s">
        <v>45</v>
      </c>
      <c r="S19" s="30"/>
      <c r="T19" s="60" t="s">
        <v>99</v>
      </c>
      <c r="U19" s="61"/>
      <c r="V19" s="54"/>
      <c r="W19" s="55"/>
      <c r="X19" s="55"/>
      <c r="Y19" s="55"/>
      <c r="Z19" s="55"/>
      <c r="AA19" s="55"/>
      <c r="AB19" s="55"/>
      <c r="AC19" s="55"/>
      <c r="AD19" s="55"/>
      <c r="AE19" s="56"/>
    </row>
  </sheetData>
  <mergeCells count="93">
    <mergeCell ref="T18:U18"/>
    <mergeCell ref="V18:AE18"/>
    <mergeCell ref="T19:U19"/>
    <mergeCell ref="V19:AE19"/>
    <mergeCell ref="T9:U9"/>
    <mergeCell ref="V9:AE9"/>
    <mergeCell ref="T10:U10"/>
    <mergeCell ref="V10:AE10"/>
    <mergeCell ref="T11:U11"/>
    <mergeCell ref="V11:AE11"/>
    <mergeCell ref="T12:U12"/>
    <mergeCell ref="V12:AE12"/>
    <mergeCell ref="T13:U13"/>
    <mergeCell ref="V13:AE13"/>
    <mergeCell ref="T14:U14"/>
    <mergeCell ref="V14:AE14"/>
    <mergeCell ref="T15:U15"/>
    <mergeCell ref="V15:AE15"/>
    <mergeCell ref="AB1:AE1"/>
    <mergeCell ref="Q2:S2"/>
    <mergeCell ref="T2:X2"/>
    <mergeCell ref="Y2:AA2"/>
    <mergeCell ref="AB2:AE2"/>
    <mergeCell ref="A1:B2"/>
    <mergeCell ref="C1:P2"/>
    <mergeCell ref="Q1:S1"/>
    <mergeCell ref="T1:X1"/>
    <mergeCell ref="Y1:AA1"/>
    <mergeCell ref="A4:E4"/>
    <mergeCell ref="F4:AE4"/>
    <mergeCell ref="A5:E5"/>
    <mergeCell ref="F5:AE5"/>
    <mergeCell ref="A6:E6"/>
    <mergeCell ref="F6:AE6"/>
    <mergeCell ref="B9:E9"/>
    <mergeCell ref="F9:I9"/>
    <mergeCell ref="J9:L9"/>
    <mergeCell ref="M9:N9"/>
    <mergeCell ref="O9:P9"/>
    <mergeCell ref="B10:E10"/>
    <mergeCell ref="F10:I10"/>
    <mergeCell ref="J10:L10"/>
    <mergeCell ref="M10:N10"/>
    <mergeCell ref="O10:P10"/>
    <mergeCell ref="B11:E11"/>
    <mergeCell ref="F11:I11"/>
    <mergeCell ref="J11:L11"/>
    <mergeCell ref="M11:N11"/>
    <mergeCell ref="O11:P11"/>
    <mergeCell ref="B12:E12"/>
    <mergeCell ref="F12:I12"/>
    <mergeCell ref="J12:L12"/>
    <mergeCell ref="M12:N12"/>
    <mergeCell ref="O12:P12"/>
    <mergeCell ref="B14:E14"/>
    <mergeCell ref="F14:I14"/>
    <mergeCell ref="J14:L14"/>
    <mergeCell ref="M14:N14"/>
    <mergeCell ref="O14:P14"/>
    <mergeCell ref="B15:E15"/>
    <mergeCell ref="F15:I15"/>
    <mergeCell ref="J15:L15"/>
    <mergeCell ref="M15:N15"/>
    <mergeCell ref="O15:P15"/>
    <mergeCell ref="M17:N17"/>
    <mergeCell ref="O17:P17"/>
    <mergeCell ref="B16:E16"/>
    <mergeCell ref="F16:I16"/>
    <mergeCell ref="J16:L16"/>
    <mergeCell ref="M16:N16"/>
    <mergeCell ref="O16:P16"/>
    <mergeCell ref="J17:L17"/>
    <mergeCell ref="T16:U16"/>
    <mergeCell ref="V16:AE16"/>
    <mergeCell ref="T17:U17"/>
    <mergeCell ref="V17:AE17"/>
    <mergeCell ref="B19:E19"/>
    <mergeCell ref="F19:I19"/>
    <mergeCell ref="J19:L19"/>
    <mergeCell ref="M19:N19"/>
    <mergeCell ref="O19:P19"/>
    <mergeCell ref="B18:E18"/>
    <mergeCell ref="F18:I18"/>
    <mergeCell ref="J18:L18"/>
    <mergeCell ref="M18:N18"/>
    <mergeCell ref="O18:P18"/>
    <mergeCell ref="B17:E17"/>
    <mergeCell ref="F17:I17"/>
    <mergeCell ref="B13:E13"/>
    <mergeCell ref="F13:I13"/>
    <mergeCell ref="J13:L13"/>
    <mergeCell ref="M13:N13"/>
    <mergeCell ref="O13:P13"/>
  </mergeCells>
  <phoneticPr fontId="3"/>
  <hyperlinks>
    <hyperlink ref="A8" location="テーブル一覧!A1" display="一覧に戻る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AE17"/>
  <sheetViews>
    <sheetView showGridLines="0" view="pageBreakPreview" zoomScaleSheetLayoutView="100" workbookViewId="0">
      <selection sqref="A1:B2"/>
    </sheetView>
  </sheetViews>
  <sheetFormatPr defaultColWidth="3.875" defaultRowHeight="12"/>
  <cols>
    <col min="1" max="16384" width="3.875" style="6"/>
  </cols>
  <sheetData>
    <row r="1" spans="1:31" ht="18" customHeight="1">
      <c r="A1" s="51" t="s">
        <v>10</v>
      </c>
      <c r="B1" s="51"/>
      <c r="C1" s="52" t="str">
        <f>表紙!B3</f>
        <v>アビックトレーニング（仮）DB定義書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6" t="s">
        <v>12</v>
      </c>
      <c r="R1" s="46"/>
      <c r="S1" s="46"/>
      <c r="T1" s="45"/>
      <c r="U1" s="45"/>
      <c r="V1" s="45"/>
      <c r="W1" s="45"/>
      <c r="X1" s="45"/>
      <c r="Y1" s="46" t="s">
        <v>8</v>
      </c>
      <c r="Z1" s="46"/>
      <c r="AA1" s="46"/>
      <c r="AB1" s="47"/>
      <c r="AC1" s="47"/>
      <c r="AD1" s="47"/>
      <c r="AE1" s="47"/>
    </row>
    <row r="2" spans="1:31" ht="18" customHeight="1">
      <c r="A2" s="5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6" t="s">
        <v>13</v>
      </c>
      <c r="R2" s="46"/>
      <c r="S2" s="46"/>
      <c r="T2" s="45"/>
      <c r="U2" s="45"/>
      <c r="V2" s="45"/>
      <c r="W2" s="45"/>
      <c r="X2" s="45"/>
      <c r="Y2" s="46" t="s">
        <v>9</v>
      </c>
      <c r="Z2" s="46"/>
      <c r="AA2" s="46"/>
      <c r="AB2" s="45"/>
      <c r="AC2" s="45"/>
      <c r="AD2" s="45"/>
      <c r="AE2" s="4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62" t="s">
        <v>29</v>
      </c>
      <c r="B4" s="62"/>
      <c r="C4" s="62"/>
      <c r="D4" s="62"/>
      <c r="E4" s="62"/>
      <c r="F4" s="54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6"/>
    </row>
    <row r="5" spans="1:31">
      <c r="A5" s="62" t="s">
        <v>30</v>
      </c>
      <c r="B5" s="62"/>
      <c r="C5" s="62"/>
      <c r="D5" s="62"/>
      <c r="E5" s="62"/>
      <c r="F5" s="54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6"/>
    </row>
    <row r="6" spans="1:31">
      <c r="A6" s="62" t="s">
        <v>21</v>
      </c>
      <c r="B6" s="62"/>
      <c r="C6" s="62"/>
      <c r="D6" s="62"/>
      <c r="E6" s="62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</row>
    <row r="8" spans="1:31">
      <c r="A8" s="21" t="s">
        <v>92</v>
      </c>
    </row>
    <row r="9" spans="1:31" s="14" customFormat="1">
      <c r="A9" s="16" t="s">
        <v>19</v>
      </c>
      <c r="B9" s="51" t="s">
        <v>34</v>
      </c>
      <c r="C9" s="51"/>
      <c r="D9" s="51"/>
      <c r="E9" s="51"/>
      <c r="F9" s="51" t="s">
        <v>35</v>
      </c>
      <c r="G9" s="51"/>
      <c r="H9" s="51"/>
      <c r="I9" s="51"/>
      <c r="J9" s="51" t="s">
        <v>36</v>
      </c>
      <c r="K9" s="51"/>
      <c r="L9" s="51"/>
      <c r="M9" s="51" t="s">
        <v>37</v>
      </c>
      <c r="N9" s="51"/>
      <c r="O9" s="51" t="s">
        <v>20</v>
      </c>
      <c r="P9" s="51"/>
      <c r="Q9" s="16" t="s">
        <v>22</v>
      </c>
      <c r="R9" s="16" t="s">
        <v>40</v>
      </c>
      <c r="S9" s="51" t="s">
        <v>21</v>
      </c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</row>
    <row r="10" spans="1:31">
      <c r="A10" s="11">
        <f>ROW()-9</f>
        <v>1</v>
      </c>
      <c r="B10" s="64"/>
      <c r="C10" s="64"/>
      <c r="D10" s="64"/>
      <c r="E10" s="64"/>
      <c r="F10" s="64"/>
      <c r="G10" s="64"/>
      <c r="H10" s="64"/>
      <c r="I10" s="64"/>
      <c r="J10" s="63"/>
      <c r="K10" s="63"/>
      <c r="L10" s="63"/>
      <c r="M10" s="65"/>
      <c r="N10" s="65"/>
      <c r="O10" s="65"/>
      <c r="P10" s="65"/>
      <c r="Q10" s="17"/>
      <c r="R10" s="17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 spans="1:31">
      <c r="A11" s="11">
        <f t="shared" ref="A11:A17" si="0">ROW()-9</f>
        <v>2</v>
      </c>
      <c r="B11" s="64"/>
      <c r="C11" s="64"/>
      <c r="D11" s="64"/>
      <c r="E11" s="64"/>
      <c r="F11" s="64"/>
      <c r="G11" s="64"/>
      <c r="H11" s="64"/>
      <c r="I11" s="64"/>
      <c r="J11" s="63"/>
      <c r="K11" s="63"/>
      <c r="L11" s="63"/>
      <c r="M11" s="65"/>
      <c r="N11" s="65"/>
      <c r="O11" s="65"/>
      <c r="P11" s="65"/>
      <c r="Q11" s="17"/>
      <c r="R11" s="17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 spans="1:31">
      <c r="A12" s="11">
        <f t="shared" si="0"/>
        <v>3</v>
      </c>
      <c r="B12" s="64"/>
      <c r="C12" s="64"/>
      <c r="D12" s="64"/>
      <c r="E12" s="64"/>
      <c r="F12" s="64"/>
      <c r="G12" s="64"/>
      <c r="H12" s="64"/>
      <c r="I12" s="64"/>
      <c r="J12" s="63"/>
      <c r="K12" s="63"/>
      <c r="L12" s="63"/>
      <c r="M12" s="65"/>
      <c r="N12" s="65"/>
      <c r="O12" s="65"/>
      <c r="P12" s="65"/>
      <c r="Q12" s="17"/>
      <c r="R12" s="17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1:31">
      <c r="A13" s="11">
        <f t="shared" si="0"/>
        <v>4</v>
      </c>
      <c r="B13" s="64"/>
      <c r="C13" s="64"/>
      <c r="D13" s="64"/>
      <c r="E13" s="64"/>
      <c r="F13" s="64"/>
      <c r="G13" s="64"/>
      <c r="H13" s="64"/>
      <c r="I13" s="64"/>
      <c r="J13" s="63"/>
      <c r="K13" s="63"/>
      <c r="L13" s="63"/>
      <c r="M13" s="65"/>
      <c r="N13" s="65"/>
      <c r="O13" s="65"/>
      <c r="P13" s="65"/>
      <c r="Q13" s="17"/>
      <c r="R13" s="17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 spans="1:31">
      <c r="A14" s="11">
        <f t="shared" si="0"/>
        <v>5</v>
      </c>
      <c r="B14" s="64"/>
      <c r="C14" s="64"/>
      <c r="D14" s="64"/>
      <c r="E14" s="64"/>
      <c r="F14" s="64"/>
      <c r="G14" s="64"/>
      <c r="H14" s="64"/>
      <c r="I14" s="64"/>
      <c r="J14" s="63"/>
      <c r="K14" s="63"/>
      <c r="L14" s="63"/>
      <c r="M14" s="65"/>
      <c r="N14" s="65"/>
      <c r="O14" s="65"/>
      <c r="P14" s="65"/>
      <c r="Q14" s="17"/>
      <c r="R14" s="17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 spans="1:31">
      <c r="A15" s="11">
        <f t="shared" si="0"/>
        <v>6</v>
      </c>
      <c r="B15" s="64"/>
      <c r="C15" s="64"/>
      <c r="D15" s="64"/>
      <c r="E15" s="64"/>
      <c r="F15" s="64"/>
      <c r="G15" s="64"/>
      <c r="H15" s="64"/>
      <c r="I15" s="64"/>
      <c r="J15" s="63"/>
      <c r="K15" s="63"/>
      <c r="L15" s="63"/>
      <c r="M15" s="65"/>
      <c r="N15" s="65"/>
      <c r="O15" s="65"/>
      <c r="P15" s="65"/>
      <c r="Q15" s="17"/>
      <c r="R15" s="17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  <row r="16" spans="1:31">
      <c r="A16" s="11">
        <f t="shared" si="0"/>
        <v>7</v>
      </c>
      <c r="B16" s="64"/>
      <c r="C16" s="64"/>
      <c r="D16" s="64"/>
      <c r="E16" s="64"/>
      <c r="F16" s="64"/>
      <c r="G16" s="64"/>
      <c r="H16" s="64"/>
      <c r="I16" s="64"/>
      <c r="J16" s="63"/>
      <c r="K16" s="63"/>
      <c r="L16" s="63"/>
      <c r="M16" s="65"/>
      <c r="N16" s="65"/>
      <c r="O16" s="65"/>
      <c r="P16" s="65"/>
      <c r="Q16" s="17"/>
      <c r="R16" s="17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</row>
    <row r="17" spans="1:31">
      <c r="A17" s="11">
        <f t="shared" si="0"/>
        <v>8</v>
      </c>
      <c r="B17" s="64"/>
      <c r="C17" s="64"/>
      <c r="D17" s="64"/>
      <c r="E17" s="64"/>
      <c r="F17" s="64"/>
      <c r="G17" s="64"/>
      <c r="H17" s="64"/>
      <c r="I17" s="64"/>
      <c r="J17" s="63"/>
      <c r="K17" s="63"/>
      <c r="L17" s="63"/>
      <c r="M17" s="65"/>
      <c r="N17" s="65"/>
      <c r="O17" s="65"/>
      <c r="P17" s="65"/>
      <c r="Q17" s="17"/>
      <c r="R17" s="17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</row>
  </sheetData>
  <mergeCells count="70">
    <mergeCell ref="M16:N16"/>
    <mergeCell ref="O16:P16"/>
    <mergeCell ref="S16:AE16"/>
    <mergeCell ref="M17:N17"/>
    <mergeCell ref="O17:P17"/>
    <mergeCell ref="S17:AE17"/>
    <mergeCell ref="M14:N14"/>
    <mergeCell ref="O14:P14"/>
    <mergeCell ref="S14:AE14"/>
    <mergeCell ref="M15:N15"/>
    <mergeCell ref="O15:P15"/>
    <mergeCell ref="S15:AE15"/>
    <mergeCell ref="M12:N12"/>
    <mergeCell ref="O12:P12"/>
    <mergeCell ref="S12:AE12"/>
    <mergeCell ref="M13:N13"/>
    <mergeCell ref="O13:P13"/>
    <mergeCell ref="S13:AE13"/>
    <mergeCell ref="O10:P10"/>
    <mergeCell ref="S10:AE10"/>
    <mergeCell ref="M11:N11"/>
    <mergeCell ref="O11:P11"/>
    <mergeCell ref="S11:AE11"/>
    <mergeCell ref="B17:E17"/>
    <mergeCell ref="F17:I17"/>
    <mergeCell ref="J17:L17"/>
    <mergeCell ref="B15:E15"/>
    <mergeCell ref="F15:I15"/>
    <mergeCell ref="J15:L15"/>
    <mergeCell ref="B16:E16"/>
    <mergeCell ref="F16:I16"/>
    <mergeCell ref="J16:L16"/>
    <mergeCell ref="B13:E13"/>
    <mergeCell ref="F13:I13"/>
    <mergeCell ref="J13:L13"/>
    <mergeCell ref="B14:E14"/>
    <mergeCell ref="F14:I14"/>
    <mergeCell ref="J14:L14"/>
    <mergeCell ref="B11:E11"/>
    <mergeCell ref="F11:I11"/>
    <mergeCell ref="J11:L11"/>
    <mergeCell ref="B12:E12"/>
    <mergeCell ref="F12:I12"/>
    <mergeCell ref="J12:L12"/>
    <mergeCell ref="S9:AE9"/>
    <mergeCell ref="B10:E10"/>
    <mergeCell ref="F10:I10"/>
    <mergeCell ref="J10:L10"/>
    <mergeCell ref="A4:E4"/>
    <mergeCell ref="F4:AE4"/>
    <mergeCell ref="A5:E5"/>
    <mergeCell ref="F5:AE5"/>
    <mergeCell ref="A6:E6"/>
    <mergeCell ref="F6:AE6"/>
    <mergeCell ref="B9:E9"/>
    <mergeCell ref="F9:I9"/>
    <mergeCell ref="J9:L9"/>
    <mergeCell ref="M9:N9"/>
    <mergeCell ref="O9:P9"/>
    <mergeCell ref="M10:N10"/>
    <mergeCell ref="A1:B2"/>
    <mergeCell ref="C1:P2"/>
    <mergeCell ref="Q1:S1"/>
    <mergeCell ref="T1:X1"/>
    <mergeCell ref="Y1:AA1"/>
    <mergeCell ref="AB1:AE1"/>
    <mergeCell ref="Q2:S2"/>
    <mergeCell ref="T2:X2"/>
    <mergeCell ref="Y2:AA2"/>
    <mergeCell ref="AB2:AE2"/>
  </mergeCells>
  <phoneticPr fontId="3"/>
  <hyperlinks>
    <hyperlink ref="A8" location="テーブル一覧!A1" display="一覧に戻る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11</vt:i4>
      </vt:variant>
    </vt:vector>
  </HeadingPairs>
  <TitlesOfParts>
    <vt:vector size="23" baseType="lpstr">
      <vt:lpstr>表紙</vt:lpstr>
      <vt:lpstr>テーブル一覧</vt:lpstr>
      <vt:lpstr>ユーザマスタ</vt:lpstr>
      <vt:lpstr>問題レベルマスタ</vt:lpstr>
      <vt:lpstr>問題カテゴリマスタ</vt:lpstr>
      <vt:lpstr>問題サブカテゴリマスタ</vt:lpstr>
      <vt:lpstr>問題マスタ</vt:lpstr>
      <vt:lpstr>解答マスタ</vt:lpstr>
      <vt:lpstr>ユーザ参照権限</vt:lpstr>
      <vt:lpstr>成績</vt:lpstr>
      <vt:lpstr>苦手問題</vt:lpstr>
      <vt:lpstr>DB定義雛形</vt:lpstr>
      <vt:lpstr>DB定義雛形!Print_Area</vt:lpstr>
      <vt:lpstr>テーブル一覧!Print_Area</vt:lpstr>
      <vt:lpstr>ユーザマスタ!Print_Area</vt:lpstr>
      <vt:lpstr>ユーザ参照権限!Print_Area</vt:lpstr>
      <vt:lpstr>解答マスタ!Print_Area</vt:lpstr>
      <vt:lpstr>苦手問題!Print_Area</vt:lpstr>
      <vt:lpstr>成績!Print_Area</vt:lpstr>
      <vt:lpstr>問題カテゴリマスタ!Print_Area</vt:lpstr>
      <vt:lpstr>問題サブカテゴリマスタ!Print_Area</vt:lpstr>
      <vt:lpstr>問題マスタ!Print_Area</vt:lpstr>
      <vt:lpstr>問題レベルマスタ!Print_Area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要平 菅澤</dc:creator>
  <cp:lastModifiedBy>USER</cp:lastModifiedBy>
  <dcterms:created xsi:type="dcterms:W3CDTF">2014-11-01T12:26:17Z</dcterms:created>
  <dcterms:modified xsi:type="dcterms:W3CDTF">2024-10-04T03:51:01Z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e3cd3af6-e901-415f-8213-5586846fdb2e</vt:lpwstr>
  </property>
</Properties>
</file>